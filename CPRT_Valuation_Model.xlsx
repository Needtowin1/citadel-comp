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Historical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Valuation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Comps" sheetId="8" state="visible" r:id="rId8"/>
    <sheet xmlns:r="http://schemas.openxmlformats.org/officeDocument/2006/relationships" name="ACV De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.00"/>
    <numFmt numFmtId="165" formatCode="#,##0.0;(#,##0.0)"/>
    <numFmt numFmtId="166" formatCode="#,##0;(#,##0)"/>
    <numFmt numFmtId="167" formatCode="0.0%"/>
    <numFmt numFmtId="168" formatCode="0.0&quot;x&quot;"/>
    <numFmt numFmtId="169" formatCode="0.0"/>
    <numFmt numFmtId="170" formatCode="0.000"/>
    <numFmt numFmtId="171" formatCode="$0.0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66666"/>
    </font>
    <font>
      <color rgb="000000FF"/>
    </font>
    <font>
      <color rgb="00000000"/>
    </font>
    <font>
      <i val="1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164" fontId="5" fillId="0" borderId="0" pivotButton="0" quotePrefix="0" xfId="0"/>
    <xf numFmtId="167" fontId="5" fillId="0" borderId="0" pivotButton="0" quotePrefix="0" xfId="0"/>
    <xf numFmtId="0" fontId="5" fillId="0" borderId="0" pivotButton="0" quotePrefix="0" xfId="0"/>
    <xf numFmtId="166" fontId="5" fillId="0" borderId="0" pivotButton="0" quotePrefix="0" xfId="0"/>
    <xf numFmtId="168" fontId="5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4" fillId="0" borderId="0" pivotButton="0" quotePrefix="0" xfId="0"/>
    <xf numFmtId="0" fontId="4" fillId="4" borderId="0" pivotButton="0" quotePrefix="0" xfId="0"/>
    <xf numFmtId="167" fontId="4" fillId="0" borderId="0" pivotButton="0" quotePrefix="0" xfId="0"/>
    <xf numFmtId="0" fontId="6" fillId="0" borderId="0" pivotButton="0" quotePrefix="0" xfId="0"/>
    <xf numFmtId="166" fontId="4" fillId="0" borderId="0" pivotButton="0" quotePrefix="0" xfId="0"/>
    <xf numFmtId="168" fontId="4" fillId="0" borderId="0" pivotButton="0" quotePrefix="0" xfId="0"/>
    <xf numFmtId="2" fontId="4" fillId="0" borderId="0" pivotButton="0" quotePrefix="0" xfId="0"/>
    <xf numFmtId="165" fontId="5" fillId="0" borderId="0" pivotButton="0" quotePrefix="0" xfId="0"/>
    <xf numFmtId="165" fontId="7" fillId="0" borderId="0" pivotButton="0" quotePrefix="0" xfId="0"/>
    <xf numFmtId="167" fontId="7" fillId="0" borderId="0" pivotButton="0" quotePrefix="0" xfId="0"/>
    <xf numFmtId="2" fontId="5" fillId="0" borderId="0" pivotButton="0" quotePrefix="0" xfId="0"/>
    <xf numFmtId="164" fontId="7" fillId="0" borderId="0" pivotButton="0" quotePrefix="0" xfId="0"/>
    <xf numFmtId="164" fontId="2" fillId="0" borderId="0" pivotButton="0" quotePrefix="0" xfId="0"/>
    <xf numFmtId="168" fontId="2" fillId="0" borderId="0" pivotButton="0" quotePrefix="0" xfId="0"/>
    <xf numFmtId="169" fontId="5" fillId="0" borderId="0" pivotButton="0" quotePrefix="0" xfId="0"/>
    <xf numFmtId="170" fontId="5" fillId="0" borderId="0" pivotButton="0" quotePrefix="0" xfId="0"/>
    <xf numFmtId="167" fontId="2" fillId="0" borderId="0" pivotButton="0" quotePrefix="0" xfId="0"/>
    <xf numFmtId="169" fontId="4" fillId="0" borderId="0" pivotButton="0" quotePrefix="0" xfId="0"/>
    <xf numFmtId="171" fontId="5" fillId="0" borderId="0" pivotButton="0" quotePrefix="0" xfId="0"/>
    <xf numFmtId="0" fontId="0" fillId="0" borderId="0" applyAlignment="1" pivotButton="0" quotePrefix="0" xfId="0">
      <alignment wrapText="1"/>
    </xf>
    <xf numFmtId="166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40" customWidth="1" min="6" max="6"/>
  </cols>
  <sheetData>
    <row r="1">
      <c r="A1" s="1" t="inlineStr">
        <is>
          <t>COPART, INC. (NASDAQ: CPRT) - LONG  |  HFAC x Citadel 2026 Stock Pitch  |  Valuation model summary</t>
        </is>
      </c>
      <c r="B1" s="2" t="n"/>
      <c r="C1" s="2" t="n"/>
      <c r="D1" s="2" t="n"/>
      <c r="E1" s="2" t="n"/>
      <c r="F1" s="2" t="n"/>
    </row>
    <row r="3">
      <c r="A3" s="3" t="inlineStr">
        <is>
          <t>Recommendation</t>
        </is>
      </c>
      <c r="B3" t="inlineStr">
        <is>
          <t>LONG</t>
        </is>
      </c>
    </row>
    <row r="4">
      <c r="A4" s="3" t="inlineStr">
        <is>
          <t>Current price (24-Sep-2026)</t>
        </is>
      </c>
      <c r="B4" s="4">
        <f>Inputs!$B$6</f>
        <v/>
      </c>
    </row>
    <row r="5">
      <c r="A5" s="3" t="inlineStr">
        <is>
          <t>12-month probability-weighted target</t>
        </is>
      </c>
      <c r="B5" s="4">
        <f>Valuation!$B$32</f>
        <v/>
      </c>
    </row>
    <row r="6">
      <c r="A6" s="3" t="inlineStr">
        <is>
          <t>Expected return</t>
        </is>
      </c>
      <c r="B6" s="5">
        <f>Valuation!$B$33</f>
        <v/>
      </c>
    </row>
    <row r="7">
      <c r="A7" s="3" t="inlineStr">
        <is>
          <t>Bear / Base / Bull target</t>
        </is>
      </c>
      <c r="B7" s="6">
        <f>TEXT(Valuation!B25,"$0.00")&amp;" / "&amp;TEXT(Valuation!C25,"$0.00")&amp;" / "&amp;TEXT(Valuation!D25,"$0.00")</f>
        <v/>
      </c>
    </row>
    <row r="8">
      <c r="A8" s="3" t="inlineStr">
        <is>
          <t>Bear / Base / Bull return</t>
        </is>
      </c>
      <c r="B8" s="6">
        <f>TEXT(Valuation!B26,"0%")&amp;" / "&amp;TEXT(Valuation!C26,"0%")&amp;" / "&amp;TEXT(Valuation!D26,"0%")</f>
        <v/>
      </c>
    </row>
    <row r="9">
      <c r="A9" s="3" t="inlineStr">
        <is>
          <t>Probabilities (Bear/Base/Bull)</t>
        </is>
      </c>
      <c r="B9" s="6">
        <f>TEXT(Inputs!B21,"0%")&amp;" / "&amp;TEXT(Inputs!C21,"0%")&amp;" / "&amp;TEXT(Inputs!D21,"0%")</f>
        <v/>
      </c>
    </row>
    <row r="10">
      <c r="A10" s="3" t="inlineStr">
        <is>
          <t>Market cap ($M)</t>
        </is>
      </c>
      <c r="B10" s="7">
        <f>Inputs!$B$12</f>
        <v/>
      </c>
    </row>
    <row r="11">
      <c r="A11" s="3" t="inlineStr">
        <is>
          <t>Enterprise value ($M)</t>
        </is>
      </c>
      <c r="B11" s="7">
        <f>Inputs!$B$13</f>
        <v/>
      </c>
    </row>
    <row r="12">
      <c r="A12" s="3" t="inlineStr">
        <is>
          <t>Current NTM P/E (consensus FY27E $1.63)</t>
        </is>
      </c>
      <c r="B12" s="8">
        <f>Inputs!$B$6/1.63</f>
        <v/>
      </c>
    </row>
    <row r="13">
      <c r="A13" s="3" t="inlineStr">
        <is>
          <t>Current EV / FY26A EBITDA</t>
        </is>
      </c>
      <c r="B13" s="8">
        <f>Inputs!$B$13/1882</f>
        <v/>
      </c>
    </row>
    <row r="14">
      <c r="A14" s="3" t="inlineStr">
        <is>
          <t>DCF value per share (active scenario)</t>
        </is>
      </c>
      <c r="B14" s="4">
        <f>DCF!B21</f>
        <v/>
      </c>
    </row>
    <row r="15">
      <c r="A15" s="3" t="inlineStr">
        <is>
          <t>Active scenario</t>
        </is>
      </c>
      <c r="B15" s="6">
        <f>Inputs!C17</f>
        <v/>
      </c>
    </row>
    <row r="17">
      <c r="A17" s="9" t="inlineStr">
        <is>
          <t>Sheet guide</t>
        </is>
      </c>
      <c r="B17" s="10" t="n"/>
      <c r="C17" s="10" t="n"/>
      <c r="D17" s="10" t="n"/>
      <c r="E17" s="10" t="n"/>
      <c r="F17" s="10" t="n"/>
    </row>
    <row r="18">
      <c r="A18" t="inlineStr">
        <is>
          <t>Inputs      - all assumptions (blue), scenario selector (B17), probabilities, ACV deal terms, DCF inputs</t>
        </is>
      </c>
    </row>
    <row r="19">
      <c r="A19" t="inlineStr">
        <is>
          <t>Historical  - FY21-FY26 financials (Capital IQ export) and CapIQ multiple history</t>
        </is>
      </c>
    </row>
    <row r="20">
      <c r="A20" t="inlineStr">
        <is>
          <t>Model       - 5-year operating model for the ACTIVE scenario incl. ACV consolidation, buybacks, cash</t>
        </is>
      </c>
    </row>
    <row r="21">
      <c r="A21" t="inlineStr">
        <is>
          <t>Scenarios   - Bear / Base / Bull models side by side (feeds Valuation)</t>
        </is>
      </c>
    </row>
    <row r="22">
      <c r="A22" t="inlineStr">
        <is>
          <t>Valuation   - 12-month target price via P/E &amp; EV/EBITDA per scenario, probability-weighted, P/E x EPS sensitivity</t>
        </is>
      </c>
    </row>
    <row r="23">
      <c r="A23" t="inlineStr">
        <is>
          <t>DCF         - 5-yr DCF on active scenario, WACC x g sensitivity</t>
        </is>
      </c>
    </row>
    <row r="24">
      <c r="A24" t="inlineStr">
        <is>
          <t>Comps       - RBA / KAR / CPRT history and implied values</t>
        </is>
      </c>
    </row>
    <row r="25">
      <c r="A25" t="inlineStr">
        <is>
          <t>ACV Deal    - deal multiples, synergy breakeven, EPS accretion/dilution sensitivity</t>
        </is>
      </c>
    </row>
    <row r="26">
      <c r="A26" t="inlineStr">
        <is>
          <t>Sources: Copart FY26 press release &amp; 10-K, Capital IQ export (provided), ACV/Copart merger press release (10-Sep-2026), Undiscovered Compounders deep dives (provided), public quotes 24-Sep-2026.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4" customWidth="1" min="8" max="8"/>
  </cols>
  <sheetData>
    <row r="1">
      <c r="A1" s="1" t="inlineStr">
        <is>
          <t>COPART (CPRT) - MODEL INPUTS  |  blue = hard-coded input, black = formula, green = link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t="inlineStr">
        <is>
          <t>All $ in millions except per share. Fiscal year ends July 31.</t>
        </is>
      </c>
    </row>
    <row r="4">
      <c r="A4" s="9" t="inlineStr">
        <is>
          <t>Market data &amp; capitalization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t="inlineStr">
        <is>
          <t>Valuation date</t>
        </is>
      </c>
      <c r="B5" t="inlineStr">
        <is>
          <t>2026-09-25</t>
        </is>
      </c>
      <c r="H5" s="11" t="inlineStr">
        <is>
          <t>Memo date</t>
        </is>
      </c>
    </row>
    <row r="6">
      <c r="A6" t="inlineStr">
        <is>
          <t>Share price ($)</t>
        </is>
      </c>
      <c r="B6" s="12" t="n">
        <v>28.04</v>
      </c>
      <c r="H6" s="11" t="inlineStr">
        <is>
          <t>NASDAQ close 24-Sep-2026</t>
        </is>
      </c>
    </row>
    <row r="7">
      <c r="A7" t="inlineStr">
        <is>
          <t>Basic shares outstanding (M)</t>
        </is>
      </c>
      <c r="B7" s="13" t="n">
        <v>925.811</v>
      </c>
      <c r="H7" s="11" t="inlineStr">
        <is>
          <t>CapIQ, latest (post FY26 buybacks)</t>
        </is>
      </c>
    </row>
    <row r="8">
      <c r="A8" t="inlineStr">
        <is>
          <t>FY26 diluted weighted shares (M)</t>
        </is>
      </c>
      <c r="B8" s="13" t="n">
        <v>956.86</v>
      </c>
      <c r="H8" s="11" t="inlineStr">
        <is>
          <t>FY26 10-K / CapIQ</t>
        </is>
      </c>
    </row>
    <row r="9">
      <c r="A9" t="inlineStr">
        <is>
          <t>Cash &amp; HTM/short-term investments</t>
        </is>
      </c>
      <c r="B9" s="13" t="n">
        <v>4489.8</v>
      </c>
      <c r="H9" s="11" t="inlineStr">
        <is>
          <t>Balance sheet 31-Jul-2026</t>
        </is>
      </c>
    </row>
    <row r="10">
      <c r="A10" t="inlineStr">
        <is>
          <t>Total debt (leases; no funded debt)</t>
        </is>
      </c>
      <c r="B10" s="13" t="n">
        <v>88.40000000000001</v>
      </c>
      <c r="H10" s="11" t="inlineStr">
        <is>
          <t>Balance sheet 31-Jul-2026</t>
        </is>
      </c>
    </row>
    <row r="11">
      <c r="A11" t="inlineStr">
        <is>
          <t>Minority interest</t>
        </is>
      </c>
      <c r="B11" s="13" t="n">
        <v>16.6</v>
      </c>
      <c r="H11" s="11" t="inlineStr">
        <is>
          <t>Balance sheet 31-Jul-2026</t>
        </is>
      </c>
    </row>
    <row r="12">
      <c r="A12" t="inlineStr">
        <is>
          <t>Market capitalization</t>
        </is>
      </c>
      <c r="B12" s="7">
        <f>B6*B7</f>
        <v/>
      </c>
      <c r="H12" s="11" t="inlineStr">
        <is>
          <t>formula</t>
        </is>
      </c>
    </row>
    <row r="13">
      <c r="A13" t="inlineStr">
        <is>
          <t>Enterprise value</t>
        </is>
      </c>
      <c r="B13" s="7">
        <f>B12-B9+B10+B11</f>
        <v/>
      </c>
      <c r="H13" s="11" t="inlineStr">
        <is>
          <t>formula</t>
        </is>
      </c>
    </row>
    <row r="14">
      <c r="A14" t="inlineStr">
        <is>
          <t>Target horizon (months)</t>
        </is>
      </c>
      <c r="B14" s="14" t="n">
        <v>12</v>
      </c>
      <c r="H14" s="11" t="inlineStr">
        <is>
          <t>Competition: 3-12 month horizon</t>
        </is>
      </c>
    </row>
    <row r="16">
      <c r="A16" s="9" t="inlineStr">
        <is>
          <t>Scenario selector (drives 'Model' and 'DCF' sheets)</t>
        </is>
      </c>
      <c r="B16" s="10" t="n"/>
      <c r="C16" s="10" t="n"/>
      <c r="D16" s="10" t="n"/>
      <c r="E16" s="10" t="n"/>
      <c r="F16" s="10" t="n"/>
      <c r="G16" s="10" t="n"/>
      <c r="H16" s="10" t="n"/>
    </row>
    <row r="17">
      <c r="A17" t="inlineStr">
        <is>
          <t>Active scenario  (1 = Bear, 2 = Base, 3 = Bull)</t>
        </is>
      </c>
      <c r="B17" s="15" t="n">
        <v>2</v>
      </c>
      <c r="C17" s="6">
        <f>CHOOSE(B17,"Bear","Base","Bull")</f>
        <v/>
      </c>
    </row>
    <row r="19">
      <c r="A19" s="9" t="inlineStr">
        <is>
          <t>Operating assumptions by scenario</t>
        </is>
      </c>
      <c r="B19" s="10" t="n"/>
      <c r="C19" s="10" t="n"/>
      <c r="D19" s="10" t="n"/>
      <c r="E19" s="10" t="n"/>
      <c r="F19" s="10" t="n"/>
      <c r="G19" s="10" t="n"/>
      <c r="H19" s="10" t="n"/>
    </row>
    <row r="20">
      <c r="B20" s="3" t="inlineStr">
        <is>
          <t>Bear</t>
        </is>
      </c>
      <c r="C20" s="3" t="inlineStr">
        <is>
          <t>Base</t>
        </is>
      </c>
      <c r="D20" s="3" t="inlineStr">
        <is>
          <t>Bull</t>
        </is>
      </c>
      <c r="E20" s="3" t="inlineStr"/>
      <c r="F20" s="3" t="inlineStr"/>
      <c r="G20" s="3" t="inlineStr"/>
      <c r="H20" s="3" t="inlineStr">
        <is>
          <t>Rationale / source</t>
        </is>
      </c>
    </row>
    <row r="21">
      <c r="A21" t="inlineStr">
        <is>
          <t>Scenario probability</t>
        </is>
      </c>
      <c r="B21" s="16" t="n">
        <v>0.25</v>
      </c>
      <c r="C21" s="16" t="n">
        <v>0.5</v>
      </c>
      <c r="D21" s="16" t="n">
        <v>0.25</v>
      </c>
      <c r="E21" s="5">
        <f>SUM(B21:D21)</f>
        <v/>
      </c>
      <c r="H21" s="11" t="inlineStr">
        <is>
          <t>Must sum to 100%; base weighted to reflect Q4-26 assignment data</t>
        </is>
      </c>
    </row>
    <row r="22">
      <c r="A22" s="3" t="inlineStr">
        <is>
          <t>US unit growth</t>
        </is>
      </c>
      <c r="B22" s="17" t="inlineStr">
        <is>
          <t>FY27E</t>
        </is>
      </c>
      <c r="C22" s="17" t="inlineStr">
        <is>
          <t>FY28E</t>
        </is>
      </c>
      <c r="D22" s="17" t="inlineStr">
        <is>
          <t>FY29E</t>
        </is>
      </c>
      <c r="E22" s="17" t="inlineStr">
        <is>
          <t>FY30E</t>
        </is>
      </c>
      <c r="F22" s="17" t="inlineStr">
        <is>
          <t>FY31E</t>
        </is>
      </c>
      <c r="H22" s="11" t="inlineStr">
        <is>
          <t>Q4-26 US insurance assignments +2.3% ex-one lost customer (Progressive); Q1-27 still down MSD, growth returns by Q4-27 (base)</t>
        </is>
      </c>
    </row>
    <row r="23">
      <c r="A23" t="inlineStr">
        <is>
          <t xml:space="preserve">   Bear</t>
        </is>
      </c>
      <c r="B23" s="16" t="n">
        <v>-0.03</v>
      </c>
      <c r="C23" s="16" t="n">
        <v>-0.01</v>
      </c>
      <c r="D23" s="16" t="n">
        <v>0</v>
      </c>
      <c r="E23" s="16" t="n">
        <v>0</v>
      </c>
      <c r="F23" s="16" t="n">
        <v>0</v>
      </c>
    </row>
    <row r="24">
      <c r="A24" t="inlineStr">
        <is>
          <t xml:space="preserve">   Base</t>
        </is>
      </c>
      <c r="B24" s="16" t="n">
        <v>-0.01</v>
      </c>
      <c r="C24" s="16" t="n">
        <v>0.03</v>
      </c>
      <c r="D24" s="16" t="n">
        <v>0.025</v>
      </c>
      <c r="E24" s="16" t="n">
        <v>0.025</v>
      </c>
      <c r="F24" s="16" t="n">
        <v>0.025</v>
      </c>
    </row>
    <row r="25">
      <c r="A25" t="inlineStr">
        <is>
          <t xml:space="preserve">   Bull</t>
        </is>
      </c>
      <c r="B25" s="16" t="n">
        <v>0.01</v>
      </c>
      <c r="C25" s="16" t="n">
        <v>0.045</v>
      </c>
      <c r="D25" s="16" t="n">
        <v>0.04</v>
      </c>
      <c r="E25" s="16" t="n">
        <v>0.04</v>
      </c>
      <c r="F25" s="16" t="n">
        <v>0.04</v>
      </c>
    </row>
    <row r="26">
      <c r="A26" s="17" t="inlineStr">
        <is>
          <t xml:space="preserve">   Active (per selector)</t>
        </is>
      </c>
      <c r="B26" s="5">
        <f>CHOOSE(Inputs!$B$17,B23,B24,B25)</f>
        <v/>
      </c>
      <c r="C26" s="5">
        <f>CHOOSE(Inputs!$B$17,C23,C24,C25)</f>
        <v/>
      </c>
      <c r="D26" s="5">
        <f>CHOOSE(Inputs!$B$17,D23,D24,D25)</f>
        <v/>
      </c>
      <c r="E26" s="5">
        <f>CHOOSE(Inputs!$B$17,E23,E24,E25)</f>
        <v/>
      </c>
      <c r="F26" s="5">
        <f>CHOOSE(Inputs!$B$17,F23,F24,F25)</f>
        <v/>
      </c>
    </row>
    <row r="28">
      <c r="A28" s="3" t="inlineStr">
        <is>
          <t>International unit growth</t>
        </is>
      </c>
      <c r="B28" s="17" t="inlineStr">
        <is>
          <t>FY27E</t>
        </is>
      </c>
      <c r="C28" s="17" t="inlineStr">
        <is>
          <t>FY28E</t>
        </is>
      </c>
      <c r="D28" s="17" t="inlineStr">
        <is>
          <t>FY29E</t>
        </is>
      </c>
      <c r="E28" s="17" t="inlineStr">
        <is>
          <t>FY30E</t>
        </is>
      </c>
      <c r="F28" s="17" t="inlineStr">
        <is>
          <t>FY31E</t>
        </is>
      </c>
      <c r="H28" s="11" t="inlineStr">
        <is>
          <t>Q4-26 intl units +10%, intl insurance +11.2%; FY26 intl revenue +8.5%; ex-FX mid/high-single digits</t>
        </is>
      </c>
    </row>
    <row r="29">
      <c r="A29" t="inlineStr">
        <is>
          <t xml:space="preserve">   Bear</t>
        </is>
      </c>
      <c r="B29" s="16" t="n">
        <v>0.025</v>
      </c>
      <c r="C29" s="16" t="n">
        <v>0.025</v>
      </c>
      <c r="D29" s="16" t="n">
        <v>0.025</v>
      </c>
      <c r="E29" s="16" t="n">
        <v>0.025</v>
      </c>
      <c r="F29" s="16" t="n">
        <v>0.025</v>
      </c>
    </row>
    <row r="30">
      <c r="A30" t="inlineStr">
        <is>
          <t xml:space="preserve">   Base</t>
        </is>
      </c>
      <c r="B30" s="16" t="n">
        <v>0.055</v>
      </c>
      <c r="C30" s="16" t="n">
        <v>0.055</v>
      </c>
      <c r="D30" s="16" t="n">
        <v>0.055</v>
      </c>
      <c r="E30" s="16" t="n">
        <v>0.055</v>
      </c>
      <c r="F30" s="16" t="n">
        <v>0.055</v>
      </c>
    </row>
    <row r="31">
      <c r="A31" t="inlineStr">
        <is>
          <t xml:space="preserve">   Bull</t>
        </is>
      </c>
      <c r="B31" s="16" t="n">
        <v>0.08</v>
      </c>
      <c r="C31" s="16" t="n">
        <v>0.08</v>
      </c>
      <c r="D31" s="16" t="n">
        <v>0.08</v>
      </c>
      <c r="E31" s="16" t="n">
        <v>0.08</v>
      </c>
      <c r="F31" s="16" t="n">
        <v>0.08</v>
      </c>
    </row>
    <row r="32">
      <c r="A32" s="17" t="inlineStr">
        <is>
          <t xml:space="preserve">   Active (per selector)</t>
        </is>
      </c>
      <c r="B32" s="5">
        <f>CHOOSE(Inputs!$B$17,B29,B30,B31)</f>
        <v/>
      </c>
      <c r="C32" s="5">
        <f>CHOOSE(Inputs!$B$17,C29,C30,C31)</f>
        <v/>
      </c>
      <c r="D32" s="5">
        <f>CHOOSE(Inputs!$B$17,D29,D30,D31)</f>
        <v/>
      </c>
      <c r="E32" s="5">
        <f>CHOOSE(Inputs!$B$17,E29,E30,E31)</f>
        <v/>
      </c>
      <c r="F32" s="5">
        <f>CHOOSE(Inputs!$B$17,F29,F30,F31)</f>
        <v/>
      </c>
    </row>
    <row r="34">
      <c r="A34" s="3" t="inlineStr">
        <is>
          <t>Revenue per unit (RPU) growth</t>
        </is>
      </c>
      <c r="B34" s="17" t="inlineStr">
        <is>
          <t>FY27E</t>
        </is>
      </c>
      <c r="C34" s="17" t="inlineStr">
        <is>
          <t>FY28E</t>
        </is>
      </c>
      <c r="D34" s="17" t="inlineStr">
        <is>
          <t>FY29E</t>
        </is>
      </c>
      <c r="E34" s="17" t="inlineStr">
        <is>
          <t>FY30E</t>
        </is>
      </c>
      <c r="F34" s="17" t="inlineStr">
        <is>
          <t>FY31E</t>
        </is>
      </c>
      <c r="H34" s="11" t="inlineStr">
        <is>
          <t>FY26 RPU +5.7%; rising ASP &amp; total-loss frequency (23.3% record CQ2-26), Title Express/long-haul fees. Bear = used-car deflation</t>
        </is>
      </c>
    </row>
    <row r="35">
      <c r="A35" t="inlineStr">
        <is>
          <t xml:space="preserve">   Bear</t>
        </is>
      </c>
      <c r="B35" s="16" t="n">
        <v>0.01</v>
      </c>
      <c r="C35" s="16" t="n">
        <v>-0.01</v>
      </c>
      <c r="D35" s="16" t="n">
        <v>-0.01</v>
      </c>
      <c r="E35" s="16" t="n">
        <v>0</v>
      </c>
      <c r="F35" s="16" t="n">
        <v>0</v>
      </c>
    </row>
    <row r="36">
      <c r="A36" t="inlineStr">
        <is>
          <t xml:space="preserve">   Base</t>
        </is>
      </c>
      <c r="B36" s="16" t="n">
        <v>0.035</v>
      </c>
      <c r="C36" s="16" t="n">
        <v>0.035</v>
      </c>
      <c r="D36" s="16" t="n">
        <v>0.035</v>
      </c>
      <c r="E36" s="16" t="n">
        <v>0.035</v>
      </c>
      <c r="F36" s="16" t="n">
        <v>0.035</v>
      </c>
    </row>
    <row r="37">
      <c r="A37" t="inlineStr">
        <is>
          <t xml:space="preserve">   Bull</t>
        </is>
      </c>
      <c r="B37" s="16" t="n">
        <v>0.055</v>
      </c>
      <c r="C37" s="16" t="n">
        <v>0.055</v>
      </c>
      <c r="D37" s="16" t="n">
        <v>0.05</v>
      </c>
      <c r="E37" s="16" t="n">
        <v>0.05</v>
      </c>
      <c r="F37" s="16" t="n">
        <v>0.05</v>
      </c>
    </row>
    <row r="38">
      <c r="A38" s="17" t="inlineStr">
        <is>
          <t xml:space="preserve">   Active (per selector)</t>
        </is>
      </c>
      <c r="B38" s="5">
        <f>CHOOSE(Inputs!$B$17,B35,B36,B37)</f>
        <v/>
      </c>
      <c r="C38" s="5">
        <f>CHOOSE(Inputs!$B$17,C35,C36,C37)</f>
        <v/>
      </c>
      <c r="D38" s="5">
        <f>CHOOSE(Inputs!$B$17,D35,D36,D37)</f>
        <v/>
      </c>
      <c r="E38" s="5">
        <f>CHOOSE(Inputs!$B$17,E35,E36,E37)</f>
        <v/>
      </c>
      <c r="F38" s="5">
        <f>CHOOSE(Inputs!$B$17,F35,F36,F37)</f>
        <v/>
      </c>
    </row>
    <row r="40">
      <c r="A40" s="3" t="inlineStr">
        <is>
          <t>Core EBIT margin (ex-ACV)</t>
        </is>
      </c>
      <c r="B40" s="17" t="inlineStr">
        <is>
          <t>FY27E</t>
        </is>
      </c>
      <c r="C40" s="17" t="inlineStr">
        <is>
          <t>FY28E</t>
        </is>
      </c>
      <c r="D40" s="17" t="inlineStr">
        <is>
          <t>FY29E</t>
        </is>
      </c>
      <c r="E40" s="17" t="inlineStr">
        <is>
          <t>FY30E</t>
        </is>
      </c>
      <c r="F40" s="17" t="inlineStr">
        <is>
          <t>FY31E</t>
        </is>
      </c>
      <c r="H40" s="11" t="inlineStr">
        <is>
          <t>FY26 35.4% (FY25 37.7%). Operating leverage on fixed land base reverses when units grow; ~1pt of unit growth = ~$31M EBIT (deep dive)</t>
        </is>
      </c>
    </row>
    <row r="41">
      <c r="A41" t="inlineStr">
        <is>
          <t xml:space="preserve">   Bear</t>
        </is>
      </c>
      <c r="B41" s="16" t="n">
        <v>0.335</v>
      </c>
      <c r="C41" s="16" t="n">
        <v>0.325</v>
      </c>
      <c r="D41" s="16" t="n">
        <v>0.32</v>
      </c>
      <c r="E41" s="16" t="n">
        <v>0.32</v>
      </c>
      <c r="F41" s="16" t="n">
        <v>0.32</v>
      </c>
    </row>
    <row r="42">
      <c r="A42" t="inlineStr">
        <is>
          <t xml:space="preserve">   Base</t>
        </is>
      </c>
      <c r="B42" s="16" t="n">
        <v>0.35</v>
      </c>
      <c r="C42" s="16" t="n">
        <v>0.36</v>
      </c>
      <c r="D42" s="16" t="n">
        <v>0.365</v>
      </c>
      <c r="E42" s="16" t="n">
        <v>0.37</v>
      </c>
      <c r="F42" s="16" t="n">
        <v>0.37</v>
      </c>
    </row>
    <row r="43">
      <c r="A43" t="inlineStr">
        <is>
          <t xml:space="preserve">   Bull</t>
        </is>
      </c>
      <c r="B43" s="16" t="n">
        <v>0.36</v>
      </c>
      <c r="C43" s="16" t="n">
        <v>0.375</v>
      </c>
      <c r="D43" s="16" t="n">
        <v>0.385</v>
      </c>
      <c r="E43" s="16" t="n">
        <v>0.39</v>
      </c>
      <c r="F43" s="16" t="n">
        <v>0.39</v>
      </c>
    </row>
    <row r="44">
      <c r="A44" s="17" t="inlineStr">
        <is>
          <t xml:space="preserve">   Active (per selector)</t>
        </is>
      </c>
      <c r="B44" s="5">
        <f>CHOOSE(Inputs!$B$17,B41,B42,B43)</f>
        <v/>
      </c>
      <c r="C44" s="5">
        <f>CHOOSE(Inputs!$B$17,C41,C42,C43)</f>
        <v/>
      </c>
      <c r="D44" s="5">
        <f>CHOOSE(Inputs!$B$17,D41,D42,D43)</f>
        <v/>
      </c>
      <c r="E44" s="5">
        <f>CHOOSE(Inputs!$B$17,E41,E42,E43)</f>
        <v/>
      </c>
      <c r="F44" s="5">
        <f>CHOOSE(Inputs!$B$17,F41,F42,F43)</f>
        <v/>
      </c>
    </row>
    <row r="46">
      <c r="A46" s="3" t="inlineStr">
        <is>
          <t>D&amp;A % revenue (ex-ACV)</t>
        </is>
      </c>
      <c r="B46" s="17" t="inlineStr">
        <is>
          <t>FY27E</t>
        </is>
      </c>
      <c r="C46" s="17" t="inlineStr">
        <is>
          <t>FY28E</t>
        </is>
      </c>
      <c r="D46" s="17" t="inlineStr">
        <is>
          <t>FY29E</t>
        </is>
      </c>
      <c r="E46" s="17" t="inlineStr">
        <is>
          <t>FY30E</t>
        </is>
      </c>
      <c r="F46" s="17" t="inlineStr">
        <is>
          <t>FY31E</t>
        </is>
      </c>
      <c r="H46" s="11" t="inlineStr">
        <is>
          <t>FY26 $229M = 4.9% of revenue</t>
        </is>
      </c>
    </row>
    <row r="47">
      <c r="A47" t="inlineStr">
        <is>
          <t xml:space="preserve">   Bear</t>
        </is>
      </c>
      <c r="B47" s="16" t="n">
        <v>0.05</v>
      </c>
      <c r="C47" s="16" t="n">
        <v>0.05</v>
      </c>
      <c r="D47" s="16" t="n">
        <v>0.05</v>
      </c>
      <c r="E47" s="16" t="n">
        <v>0.05</v>
      </c>
      <c r="F47" s="16" t="n">
        <v>0.05</v>
      </c>
    </row>
    <row r="48">
      <c r="A48" t="inlineStr">
        <is>
          <t xml:space="preserve">   Base</t>
        </is>
      </c>
      <c r="B48" s="16" t="n">
        <v>0.05</v>
      </c>
      <c r="C48" s="16" t="n">
        <v>0.05</v>
      </c>
      <c r="D48" s="16" t="n">
        <v>0.05</v>
      </c>
      <c r="E48" s="16" t="n">
        <v>0.05</v>
      </c>
      <c r="F48" s="16" t="n">
        <v>0.05</v>
      </c>
    </row>
    <row r="49">
      <c r="A49" t="inlineStr">
        <is>
          <t xml:space="preserve">   Bull</t>
        </is>
      </c>
      <c r="B49" s="16" t="n">
        <v>0.05</v>
      </c>
      <c r="C49" s="16" t="n">
        <v>0.05</v>
      </c>
      <c r="D49" s="16" t="n">
        <v>0.05</v>
      </c>
      <c r="E49" s="16" t="n">
        <v>0.05</v>
      </c>
      <c r="F49" s="16" t="n">
        <v>0.05</v>
      </c>
    </row>
    <row r="50">
      <c r="A50" s="17" t="inlineStr">
        <is>
          <t xml:space="preserve">   Active (per selector)</t>
        </is>
      </c>
      <c r="B50" s="5">
        <f>CHOOSE(Inputs!$B$17,B47,B48,B49)</f>
        <v/>
      </c>
      <c r="C50" s="5">
        <f>CHOOSE(Inputs!$B$17,C47,C48,C49)</f>
        <v/>
      </c>
      <c r="D50" s="5">
        <f>CHOOSE(Inputs!$B$17,D47,D48,D49)</f>
        <v/>
      </c>
      <c r="E50" s="5">
        <f>CHOOSE(Inputs!$B$17,E47,E48,E49)</f>
        <v/>
      </c>
      <c r="F50" s="5">
        <f>CHOOSE(Inputs!$B$17,F47,F48,F49)</f>
        <v/>
      </c>
    </row>
    <row r="52">
      <c r="A52" s="3" t="inlineStr">
        <is>
          <t>Capex % revenue (ex-ACV)</t>
        </is>
      </c>
      <c r="B52" s="17" t="inlineStr">
        <is>
          <t>FY27E</t>
        </is>
      </c>
      <c r="C52" s="17" t="inlineStr">
        <is>
          <t>FY28E</t>
        </is>
      </c>
      <c r="D52" s="17" t="inlineStr">
        <is>
          <t>FY29E</t>
        </is>
      </c>
      <c r="E52" s="17" t="inlineStr">
        <is>
          <t>FY30E</t>
        </is>
      </c>
      <c r="F52" s="17" t="inlineStr">
        <is>
          <t>FY31E</t>
        </is>
      </c>
      <c r="H52" s="11" t="inlineStr">
        <is>
          <t>FY26 7.2% (land buying paused); FY24-25 ~12% incl. land banking; maintenance ~$230M (~5%)</t>
        </is>
      </c>
    </row>
    <row r="53">
      <c r="A53" t="inlineStr">
        <is>
          <t xml:space="preserve">   Bear</t>
        </is>
      </c>
      <c r="B53" s="16" t="n">
        <v>0.08</v>
      </c>
      <c r="C53" s="16" t="n">
        <v>0.08</v>
      </c>
      <c r="D53" s="16" t="n">
        <v>0.08</v>
      </c>
      <c r="E53" s="16" t="n">
        <v>0.08</v>
      </c>
      <c r="F53" s="16" t="n">
        <v>0.08</v>
      </c>
    </row>
    <row r="54">
      <c r="A54" t="inlineStr">
        <is>
          <t xml:space="preserve">   Base</t>
        </is>
      </c>
      <c r="B54" s="16" t="n">
        <v>0.08500000000000001</v>
      </c>
      <c r="C54" s="16" t="n">
        <v>0.08500000000000001</v>
      </c>
      <c r="D54" s="16" t="n">
        <v>0.08500000000000001</v>
      </c>
      <c r="E54" s="16" t="n">
        <v>0.08500000000000001</v>
      </c>
      <c r="F54" s="16" t="n">
        <v>0.08500000000000001</v>
      </c>
    </row>
    <row r="55">
      <c r="A55" t="inlineStr">
        <is>
          <t xml:space="preserve">   Bull</t>
        </is>
      </c>
      <c r="B55" s="16" t="n">
        <v>0.095</v>
      </c>
      <c r="C55" s="16" t="n">
        <v>0.095</v>
      </c>
      <c r="D55" s="16" t="n">
        <v>0.095</v>
      </c>
      <c r="E55" s="16" t="n">
        <v>0.095</v>
      </c>
      <c r="F55" s="16" t="n">
        <v>0.095</v>
      </c>
    </row>
    <row r="56">
      <c r="A56" s="17" t="inlineStr">
        <is>
          <t xml:space="preserve">   Active (per selector)</t>
        </is>
      </c>
      <c r="B56" s="5">
        <f>CHOOSE(Inputs!$B$17,B53,B54,B55)</f>
        <v/>
      </c>
      <c r="C56" s="5">
        <f>CHOOSE(Inputs!$B$17,C53,C54,C55)</f>
        <v/>
      </c>
      <c r="D56" s="5">
        <f>CHOOSE(Inputs!$B$17,D53,D54,D55)</f>
        <v/>
      </c>
      <c r="E56" s="5">
        <f>CHOOSE(Inputs!$B$17,E53,E54,E55)</f>
        <v/>
      </c>
      <c r="F56" s="5">
        <f>CHOOSE(Inputs!$B$17,F53,F54,F55)</f>
        <v/>
      </c>
    </row>
    <row r="58">
      <c r="A58" s="3" t="inlineStr">
        <is>
          <t>Change in NWC (% of revenue change)</t>
        </is>
      </c>
      <c r="B58" s="17" t="inlineStr">
        <is>
          <t>FY27E</t>
        </is>
      </c>
      <c r="C58" s="17" t="inlineStr">
        <is>
          <t>FY28E</t>
        </is>
      </c>
      <c r="D58" s="17" t="inlineStr">
        <is>
          <t>FY29E</t>
        </is>
      </c>
      <c r="E58" s="17" t="inlineStr">
        <is>
          <t>FY30E</t>
        </is>
      </c>
      <c r="F58" s="17" t="inlineStr">
        <is>
          <t>FY31E</t>
        </is>
      </c>
      <c r="H58" s="11" t="inlineStr">
        <is>
          <t>Historical NWC ~1% of OCF</t>
        </is>
      </c>
    </row>
    <row r="59">
      <c r="A59" t="inlineStr">
        <is>
          <t xml:space="preserve">   Bear</t>
        </is>
      </c>
      <c r="B59" s="16" t="n">
        <v>0.03</v>
      </c>
      <c r="C59" s="16" t="n">
        <v>0.03</v>
      </c>
      <c r="D59" s="16" t="n">
        <v>0.03</v>
      </c>
      <c r="E59" s="16" t="n">
        <v>0.03</v>
      </c>
      <c r="F59" s="16" t="n">
        <v>0.03</v>
      </c>
    </row>
    <row r="60">
      <c r="A60" t="inlineStr">
        <is>
          <t xml:space="preserve">   Base</t>
        </is>
      </c>
      <c r="B60" s="16" t="n">
        <v>0.03</v>
      </c>
      <c r="C60" s="16" t="n">
        <v>0.03</v>
      </c>
      <c r="D60" s="16" t="n">
        <v>0.03</v>
      </c>
      <c r="E60" s="16" t="n">
        <v>0.03</v>
      </c>
      <c r="F60" s="16" t="n">
        <v>0.03</v>
      </c>
    </row>
    <row r="61">
      <c r="A61" t="inlineStr">
        <is>
          <t xml:space="preserve">   Bull</t>
        </is>
      </c>
      <c r="B61" s="16" t="n">
        <v>0.03</v>
      </c>
      <c r="C61" s="16" t="n">
        <v>0.03</v>
      </c>
      <c r="D61" s="16" t="n">
        <v>0.03</v>
      </c>
      <c r="E61" s="16" t="n">
        <v>0.03</v>
      </c>
      <c r="F61" s="16" t="n">
        <v>0.03</v>
      </c>
    </row>
    <row r="62">
      <c r="A62" s="17" t="inlineStr">
        <is>
          <t xml:space="preserve">   Active (per selector)</t>
        </is>
      </c>
      <c r="B62" s="5">
        <f>CHOOSE(Inputs!$B$17,B59,B60,B61)</f>
        <v/>
      </c>
      <c r="C62" s="5">
        <f>CHOOSE(Inputs!$B$17,C59,C60,C61)</f>
        <v/>
      </c>
      <c r="D62" s="5">
        <f>CHOOSE(Inputs!$B$17,D59,D60,D61)</f>
        <v/>
      </c>
      <c r="E62" s="5">
        <f>CHOOSE(Inputs!$B$17,E59,E60,E61)</f>
        <v/>
      </c>
      <c r="F62" s="5">
        <f>CHOOSE(Inputs!$B$17,F59,F60,F61)</f>
        <v/>
      </c>
    </row>
    <row r="64">
      <c r="A64" s="3" t="inlineStr">
        <is>
          <t>Effective tax rate</t>
        </is>
      </c>
      <c r="B64" s="17" t="inlineStr">
        <is>
          <t>FY27E</t>
        </is>
      </c>
      <c r="C64" s="17" t="inlineStr">
        <is>
          <t>FY28E</t>
        </is>
      </c>
      <c r="D64" s="17" t="inlineStr">
        <is>
          <t>FY29E</t>
        </is>
      </c>
      <c r="E64" s="17" t="inlineStr">
        <is>
          <t>FY30E</t>
        </is>
      </c>
      <c r="F64" s="17" t="inlineStr">
        <is>
          <t>FY31E</t>
        </is>
      </c>
      <c r="H64" s="11" t="inlineStr">
        <is>
          <t>FY26 19.3%, FY25 18.3%</t>
        </is>
      </c>
    </row>
    <row r="65">
      <c r="A65" t="inlineStr">
        <is>
          <t xml:space="preserve">   Bear</t>
        </is>
      </c>
      <c r="B65" s="16" t="n">
        <v>0.195</v>
      </c>
      <c r="C65" s="16" t="n">
        <v>0.195</v>
      </c>
      <c r="D65" s="16" t="n">
        <v>0.195</v>
      </c>
      <c r="E65" s="16" t="n">
        <v>0.195</v>
      </c>
      <c r="F65" s="16" t="n">
        <v>0.195</v>
      </c>
    </row>
    <row r="66">
      <c r="A66" t="inlineStr">
        <is>
          <t xml:space="preserve">   Base</t>
        </is>
      </c>
      <c r="B66" s="16" t="n">
        <v>0.195</v>
      </c>
      <c r="C66" s="16" t="n">
        <v>0.195</v>
      </c>
      <c r="D66" s="16" t="n">
        <v>0.195</v>
      </c>
      <c r="E66" s="16" t="n">
        <v>0.195</v>
      </c>
      <c r="F66" s="16" t="n">
        <v>0.195</v>
      </c>
    </row>
    <row r="67">
      <c r="A67" t="inlineStr">
        <is>
          <t xml:space="preserve">   Bull</t>
        </is>
      </c>
      <c r="B67" s="16" t="n">
        <v>0.195</v>
      </c>
      <c r="C67" s="16" t="n">
        <v>0.195</v>
      </c>
      <c r="D67" s="16" t="n">
        <v>0.195</v>
      </c>
      <c r="E67" s="16" t="n">
        <v>0.195</v>
      </c>
      <c r="F67" s="16" t="n">
        <v>0.195</v>
      </c>
    </row>
    <row r="68">
      <c r="A68" s="17" t="inlineStr">
        <is>
          <t xml:space="preserve">   Active (per selector)</t>
        </is>
      </c>
      <c r="B68" s="5">
        <f>CHOOSE(Inputs!$B$17,B65,B66,B67)</f>
        <v/>
      </c>
      <c r="C68" s="5">
        <f>CHOOSE(Inputs!$B$17,C65,C66,C67)</f>
        <v/>
      </c>
      <c r="D68" s="5">
        <f>CHOOSE(Inputs!$B$17,D65,D66,D67)</f>
        <v/>
      </c>
      <c r="E68" s="5">
        <f>CHOOSE(Inputs!$B$17,E65,E66,E67)</f>
        <v/>
      </c>
      <c r="F68" s="5">
        <f>CHOOSE(Inputs!$B$17,F65,F66,F67)</f>
        <v/>
      </c>
    </row>
    <row r="70">
      <c r="A70" s="3" t="inlineStr">
        <is>
          <t>Yield on cash</t>
        </is>
      </c>
      <c r="B70" s="17" t="inlineStr">
        <is>
          <t>FY27E</t>
        </is>
      </c>
      <c r="C70" s="17" t="inlineStr">
        <is>
          <t>FY28E</t>
        </is>
      </c>
      <c r="D70" s="17" t="inlineStr">
        <is>
          <t>FY29E</t>
        </is>
      </c>
      <c r="E70" s="17" t="inlineStr">
        <is>
          <t>FY30E</t>
        </is>
      </c>
      <c r="F70" s="17" t="inlineStr">
        <is>
          <t>FY31E</t>
        </is>
      </c>
      <c r="H70" s="11" t="inlineStr">
        <is>
          <t>FY26 interest income $182M on ~$4.6B avg cash = 3.9%</t>
        </is>
      </c>
    </row>
    <row r="71">
      <c r="A71" t="inlineStr">
        <is>
          <t xml:space="preserve">   Bear</t>
        </is>
      </c>
      <c r="B71" s="16" t="n">
        <v>0.035</v>
      </c>
      <c r="C71" s="16" t="n">
        <v>0.035</v>
      </c>
      <c r="D71" s="16" t="n">
        <v>0.035</v>
      </c>
      <c r="E71" s="16" t="n">
        <v>0.035</v>
      </c>
      <c r="F71" s="16" t="n">
        <v>0.035</v>
      </c>
    </row>
    <row r="72">
      <c r="A72" t="inlineStr">
        <is>
          <t xml:space="preserve">   Base</t>
        </is>
      </c>
      <c r="B72" s="16" t="n">
        <v>0.038</v>
      </c>
      <c r="C72" s="16" t="n">
        <v>0.038</v>
      </c>
      <c r="D72" s="16" t="n">
        <v>0.038</v>
      </c>
      <c r="E72" s="16" t="n">
        <v>0.038</v>
      </c>
      <c r="F72" s="16" t="n">
        <v>0.038</v>
      </c>
    </row>
    <row r="73">
      <c r="A73" t="inlineStr">
        <is>
          <t xml:space="preserve">   Bull</t>
        </is>
      </c>
      <c r="B73" s="16" t="n">
        <v>0.038</v>
      </c>
      <c r="C73" s="16" t="n">
        <v>0.038</v>
      </c>
      <c r="D73" s="16" t="n">
        <v>0.038</v>
      </c>
      <c r="E73" s="16" t="n">
        <v>0.038</v>
      </c>
      <c r="F73" s="16" t="n">
        <v>0.038</v>
      </c>
    </row>
    <row r="74">
      <c r="A74" s="17" t="inlineStr">
        <is>
          <t xml:space="preserve">   Active (per selector)</t>
        </is>
      </c>
      <c r="B74" s="5">
        <f>CHOOSE(Inputs!$B$17,B71,B72,B73)</f>
        <v/>
      </c>
      <c r="C74" s="5">
        <f>CHOOSE(Inputs!$B$17,C71,C72,C73)</f>
        <v/>
      </c>
      <c r="D74" s="5">
        <f>CHOOSE(Inputs!$B$17,D71,D72,D73)</f>
        <v/>
      </c>
      <c r="E74" s="5">
        <f>CHOOSE(Inputs!$B$17,E71,E72,E73)</f>
        <v/>
      </c>
      <c r="F74" s="5">
        <f>CHOOSE(Inputs!$B$17,F71,F72,F73)</f>
        <v/>
      </c>
    </row>
    <row r="76">
      <c r="A76" s="3" t="inlineStr">
        <is>
          <t>Share buybacks ($M / yr)</t>
        </is>
      </c>
      <c r="B76" s="17" t="inlineStr">
        <is>
          <t>FY27E</t>
        </is>
      </c>
      <c r="C76" s="17" t="inlineStr">
        <is>
          <t>FY28E</t>
        </is>
      </c>
      <c r="D76" s="17" t="inlineStr">
        <is>
          <t>FY29E</t>
        </is>
      </c>
      <c r="E76" s="17" t="inlineStr">
        <is>
          <t>FY30E</t>
        </is>
      </c>
      <c r="F76" s="17" t="inlineStr">
        <is>
          <t>FY31E</t>
        </is>
      </c>
      <c r="H76" s="11" t="inlineStr">
        <is>
          <t>FY26 $1.63B; paused for ACV; ~$2.6B cash left post-deal + $1.25B revolver</t>
        </is>
      </c>
    </row>
    <row r="77">
      <c r="A77" t="inlineStr">
        <is>
          <t xml:space="preserve">   Bear</t>
        </is>
      </c>
      <c r="B77" s="18" t="n">
        <v>200</v>
      </c>
      <c r="C77" s="18" t="n">
        <v>200</v>
      </c>
      <c r="D77" s="18" t="n">
        <v>300</v>
      </c>
      <c r="E77" s="18" t="n">
        <v>300</v>
      </c>
      <c r="F77" s="18" t="n">
        <v>300</v>
      </c>
    </row>
    <row r="78">
      <c r="A78" t="inlineStr">
        <is>
          <t xml:space="preserve">   Base</t>
        </is>
      </c>
      <c r="B78" s="18" t="n">
        <v>500</v>
      </c>
      <c r="C78" s="18" t="n">
        <v>700</v>
      </c>
      <c r="D78" s="18" t="n">
        <v>800</v>
      </c>
      <c r="E78" s="18" t="n">
        <v>800</v>
      </c>
      <c r="F78" s="18" t="n">
        <v>800</v>
      </c>
    </row>
    <row r="79">
      <c r="A79" t="inlineStr">
        <is>
          <t xml:space="preserve">   Bull</t>
        </is>
      </c>
      <c r="B79" s="18" t="n">
        <v>800</v>
      </c>
      <c r="C79" s="18" t="n">
        <v>1000</v>
      </c>
      <c r="D79" s="18" t="n">
        <v>1000</v>
      </c>
      <c r="E79" s="18" t="n">
        <v>1000</v>
      </c>
      <c r="F79" s="18" t="n">
        <v>1000</v>
      </c>
    </row>
    <row r="80">
      <c r="A80" s="17" t="inlineStr">
        <is>
          <t xml:space="preserve">   Active (per selector)</t>
        </is>
      </c>
      <c r="B80" s="7">
        <f>CHOOSE(Inputs!$B$17,B77,B78,B79)</f>
        <v/>
      </c>
      <c r="C80" s="7">
        <f>CHOOSE(Inputs!$B$17,C77,C78,C79)</f>
        <v/>
      </c>
      <c r="D80" s="7">
        <f>CHOOSE(Inputs!$B$17,D77,D78,D79)</f>
        <v/>
      </c>
      <c r="E80" s="7">
        <f>CHOOSE(Inputs!$B$17,E77,E78,E79)</f>
        <v/>
      </c>
      <c r="F80" s="7">
        <f>CHOOSE(Inputs!$B$17,F77,F78,F79)</f>
        <v/>
      </c>
    </row>
    <row r="82">
      <c r="A82" s="3" t="inlineStr">
        <is>
          <t>Assumed avg buyback price ($)</t>
        </is>
      </c>
      <c r="B82" s="17" t="inlineStr">
        <is>
          <t>FY27E</t>
        </is>
      </c>
      <c r="C82" s="17" t="inlineStr">
        <is>
          <t>FY28E</t>
        </is>
      </c>
      <c r="D82" s="17" t="inlineStr">
        <is>
          <t>FY29E</t>
        </is>
      </c>
      <c r="E82" s="17" t="inlineStr">
        <is>
          <t>FY30E</t>
        </is>
      </c>
      <c r="F82" s="17" t="inlineStr">
        <is>
          <t>FY31E</t>
        </is>
      </c>
      <c r="H82" s="11" t="inlineStr">
        <is>
          <t>Assumption consistent with each scenario's price path</t>
        </is>
      </c>
    </row>
    <row r="83">
      <c r="A83" t="inlineStr">
        <is>
          <t xml:space="preserve">   Bear</t>
        </is>
      </c>
      <c r="B83" s="12" t="n">
        <v>26</v>
      </c>
      <c r="C83" s="12" t="n">
        <v>24</v>
      </c>
      <c r="D83" s="12" t="n">
        <v>24</v>
      </c>
      <c r="E83" s="12" t="n">
        <v>26</v>
      </c>
      <c r="F83" s="12" t="n">
        <v>28</v>
      </c>
    </row>
    <row r="84">
      <c r="A84" t="inlineStr">
        <is>
          <t xml:space="preserve">   Base</t>
        </is>
      </c>
      <c r="B84" s="12" t="n">
        <v>30</v>
      </c>
      <c r="C84" s="12" t="n">
        <v>36</v>
      </c>
      <c r="D84" s="12" t="n">
        <v>40</v>
      </c>
      <c r="E84" s="12" t="n">
        <v>44</v>
      </c>
      <c r="F84" s="12" t="n">
        <v>48</v>
      </c>
    </row>
    <row r="85">
      <c r="A85" t="inlineStr">
        <is>
          <t xml:space="preserve">   Bull</t>
        </is>
      </c>
      <c r="B85" s="12" t="n">
        <v>32</v>
      </c>
      <c r="C85" s="12" t="n">
        <v>42</v>
      </c>
      <c r="D85" s="12" t="n">
        <v>50</v>
      </c>
      <c r="E85" s="12" t="n">
        <v>56</v>
      </c>
      <c r="F85" s="12" t="n">
        <v>62</v>
      </c>
    </row>
    <row r="86">
      <c r="A86" s="17" t="inlineStr">
        <is>
          <t xml:space="preserve">   Active (per selector)</t>
        </is>
      </c>
      <c r="B86" s="4">
        <f>CHOOSE(Inputs!$B$17,B83,B84,B85)</f>
        <v/>
      </c>
      <c r="C86" s="4">
        <f>CHOOSE(Inputs!$B$17,C83,C84,C85)</f>
        <v/>
      </c>
      <c r="D86" s="4">
        <f>CHOOSE(Inputs!$B$17,D83,D84,D85)</f>
        <v/>
      </c>
      <c r="E86" s="4">
        <f>CHOOSE(Inputs!$B$17,E83,E84,E85)</f>
        <v/>
      </c>
      <c r="F86" s="4">
        <f>CHOOSE(Inputs!$B$17,F83,F84,F85)</f>
        <v/>
      </c>
    </row>
    <row r="88">
      <c r="A88" s="3" t="inlineStr">
        <is>
          <t>Gross share issuance (SBC dilution)</t>
        </is>
      </c>
      <c r="B88" s="17" t="inlineStr">
        <is>
          <t>FY27E</t>
        </is>
      </c>
      <c r="C88" s="17" t="inlineStr">
        <is>
          <t>FY28E</t>
        </is>
      </c>
      <c r="D88" s="17" t="inlineStr">
        <is>
          <t>FY29E</t>
        </is>
      </c>
      <c r="E88" s="17" t="inlineStr">
        <is>
          <t>FY30E</t>
        </is>
      </c>
      <c r="F88" s="17" t="inlineStr">
        <is>
          <t>FY31E</t>
        </is>
      </c>
      <c r="H88" s="11" t="inlineStr">
        <is>
          <t>FY26 ~$31M issuance / SBC $39M</t>
        </is>
      </c>
    </row>
    <row r="89">
      <c r="A89" t="inlineStr">
        <is>
          <t xml:space="preserve">   Bear</t>
        </is>
      </c>
      <c r="B89" s="16" t="n">
        <v>0.003</v>
      </c>
      <c r="C89" s="16" t="n">
        <v>0.003</v>
      </c>
      <c r="D89" s="16" t="n">
        <v>0.003</v>
      </c>
      <c r="E89" s="16" t="n">
        <v>0.003</v>
      </c>
      <c r="F89" s="16" t="n">
        <v>0.003</v>
      </c>
    </row>
    <row r="90">
      <c r="A90" t="inlineStr">
        <is>
          <t xml:space="preserve">   Base</t>
        </is>
      </c>
      <c r="B90" s="16" t="n">
        <v>0.003</v>
      </c>
      <c r="C90" s="16" t="n">
        <v>0.003</v>
      </c>
      <c r="D90" s="16" t="n">
        <v>0.003</v>
      </c>
      <c r="E90" s="16" t="n">
        <v>0.003</v>
      </c>
      <c r="F90" s="16" t="n">
        <v>0.003</v>
      </c>
    </row>
    <row r="91">
      <c r="A91" t="inlineStr">
        <is>
          <t xml:space="preserve">   Bull</t>
        </is>
      </c>
      <c r="B91" s="16" t="n">
        <v>0.003</v>
      </c>
      <c r="C91" s="16" t="n">
        <v>0.003</v>
      </c>
      <c r="D91" s="16" t="n">
        <v>0.003</v>
      </c>
      <c r="E91" s="16" t="n">
        <v>0.003</v>
      </c>
      <c r="F91" s="16" t="n">
        <v>0.003</v>
      </c>
    </row>
    <row r="92">
      <c r="A92" s="17" t="inlineStr">
        <is>
          <t xml:space="preserve">   Active (per selector)</t>
        </is>
      </c>
      <c r="B92" s="5">
        <f>CHOOSE(Inputs!$B$17,B89,B90,B91)</f>
        <v/>
      </c>
      <c r="C92" s="5">
        <f>CHOOSE(Inputs!$B$17,C89,C90,C91)</f>
        <v/>
      </c>
      <c r="D92" s="5">
        <f>CHOOSE(Inputs!$B$17,D89,D90,D91)</f>
        <v/>
      </c>
      <c r="E92" s="5">
        <f>CHOOSE(Inputs!$B$17,E89,E90,E91)</f>
        <v/>
      </c>
      <c r="F92" s="5">
        <f>CHOOSE(Inputs!$B$17,F89,F90,F91)</f>
        <v/>
      </c>
    </row>
    <row r="94">
      <c r="A94" s="3" t="inlineStr">
        <is>
          <t>ACV pretax synergies ($M)</t>
        </is>
      </c>
      <c r="B94" s="17" t="inlineStr">
        <is>
          <t>FY27E</t>
        </is>
      </c>
      <c r="C94" s="17" t="inlineStr">
        <is>
          <t>FY28E</t>
        </is>
      </c>
      <c r="D94" s="17" t="inlineStr">
        <is>
          <t>FY29E</t>
        </is>
      </c>
      <c r="E94" s="17" t="inlineStr">
        <is>
          <t>FY30E</t>
        </is>
      </c>
      <c r="F94" s="17" t="inlineStr">
        <is>
          <t>FY31E</t>
        </is>
      </c>
      <c r="H94" s="11" t="inlineStr">
        <is>
          <t>ACV deep dive: ~$25M needed for FY28 accretion; levers = yard sharing, logistics, buyer cross-sell, floorplan, G&amp;A</t>
        </is>
      </c>
    </row>
    <row r="95">
      <c r="A95" t="inlineStr">
        <is>
          <t xml:space="preserve">   Bear</t>
        </is>
      </c>
      <c r="B95" s="18" t="n">
        <v>0</v>
      </c>
      <c r="C95" s="18" t="n">
        <v>0</v>
      </c>
      <c r="D95" s="18" t="n">
        <v>10</v>
      </c>
      <c r="E95" s="18" t="n">
        <v>20</v>
      </c>
      <c r="F95" s="18" t="n">
        <v>25</v>
      </c>
    </row>
    <row r="96">
      <c r="A96" t="inlineStr">
        <is>
          <t xml:space="preserve">   Base</t>
        </is>
      </c>
      <c r="B96" s="18" t="n">
        <v>0</v>
      </c>
      <c r="C96" s="18" t="n">
        <v>25</v>
      </c>
      <c r="D96" s="18" t="n">
        <v>60</v>
      </c>
      <c r="E96" s="18" t="n">
        <v>90</v>
      </c>
      <c r="F96" s="18" t="n">
        <v>110</v>
      </c>
    </row>
    <row r="97">
      <c r="A97" t="inlineStr">
        <is>
          <t xml:space="preserve">   Bull</t>
        </is>
      </c>
      <c r="B97" s="18" t="n">
        <v>0</v>
      </c>
      <c r="C97" s="18" t="n">
        <v>50</v>
      </c>
      <c r="D97" s="18" t="n">
        <v>110</v>
      </c>
      <c r="E97" s="18" t="n">
        <v>160</v>
      </c>
      <c r="F97" s="18" t="n">
        <v>190</v>
      </c>
    </row>
    <row r="98">
      <c r="A98" s="17" t="inlineStr">
        <is>
          <t xml:space="preserve">   Active (per selector)</t>
        </is>
      </c>
      <c r="B98" s="7">
        <f>CHOOSE(Inputs!$B$17,B95,B96,B97)</f>
        <v/>
      </c>
      <c r="C98" s="7">
        <f>CHOOSE(Inputs!$B$17,C95,C96,C97)</f>
        <v/>
      </c>
      <c r="D98" s="7">
        <f>CHOOSE(Inputs!$B$17,D95,D96,D97)</f>
        <v/>
      </c>
      <c r="E98" s="7">
        <f>CHOOSE(Inputs!$B$17,E95,E96,E97)</f>
        <v/>
      </c>
      <c r="F98" s="7">
        <f>CHOOSE(Inputs!$B$17,F95,F96,F97)</f>
        <v/>
      </c>
    </row>
    <row r="100">
      <c r="A100" s="3" t="inlineStr">
        <is>
          <t>ACV revenue growth (CY)</t>
        </is>
      </c>
      <c r="B100" s="17" t="inlineStr">
        <is>
          <t>FY27E</t>
        </is>
      </c>
      <c r="C100" s="17" t="inlineStr">
        <is>
          <t>FY28E</t>
        </is>
      </c>
      <c r="D100" s="17" t="inlineStr">
        <is>
          <t>FY29E</t>
        </is>
      </c>
      <c r="E100" s="17" t="inlineStr">
        <is>
          <t>FY30E</t>
        </is>
      </c>
      <c r="F100" s="17" t="inlineStr">
        <is>
          <t>FY31E</t>
        </is>
      </c>
      <c r="H100" s="11" t="inlineStr">
        <is>
          <t>ACV CY25 $760M -&gt; CY26 guide ~$850M (+12%)</t>
        </is>
      </c>
    </row>
    <row r="101">
      <c r="A101" t="inlineStr">
        <is>
          <t xml:space="preserve">   Bear</t>
        </is>
      </c>
      <c r="B101" s="16" t="n">
        <v>0.06</v>
      </c>
      <c r="C101" s="16" t="n">
        <v>0.06</v>
      </c>
      <c r="D101" s="16" t="n">
        <v>0.06</v>
      </c>
      <c r="E101" s="16" t="n">
        <v>0.06</v>
      </c>
      <c r="F101" s="16" t="n">
        <v>0.06</v>
      </c>
    </row>
    <row r="102">
      <c r="A102" t="inlineStr">
        <is>
          <t xml:space="preserve">   Base</t>
        </is>
      </c>
      <c r="B102" s="16" t="n">
        <v>0.12</v>
      </c>
      <c r="C102" s="16" t="n">
        <v>0.11</v>
      </c>
      <c r="D102" s="16" t="n">
        <v>0.1</v>
      </c>
      <c r="E102" s="16" t="n">
        <v>0.09</v>
      </c>
      <c r="F102" s="16" t="n">
        <v>0.08</v>
      </c>
    </row>
    <row r="103">
      <c r="A103" t="inlineStr">
        <is>
          <t xml:space="preserve">   Bull</t>
        </is>
      </c>
      <c r="B103" s="16" t="n">
        <v>0.15</v>
      </c>
      <c r="C103" s="16" t="n">
        <v>0.14</v>
      </c>
      <c r="D103" s="16" t="n">
        <v>0.12</v>
      </c>
      <c r="E103" s="16" t="n">
        <v>0.11</v>
      </c>
      <c r="F103" s="16" t="n">
        <v>0.1</v>
      </c>
    </row>
    <row r="104">
      <c r="A104" s="17" t="inlineStr">
        <is>
          <t xml:space="preserve">   Active (per selector)</t>
        </is>
      </c>
      <c r="B104" s="5">
        <f>CHOOSE(Inputs!$B$17,B101,B102,B103)</f>
        <v/>
      </c>
      <c r="C104" s="5">
        <f>CHOOSE(Inputs!$B$17,C101,C102,C103)</f>
        <v/>
      </c>
      <c r="D104" s="5">
        <f>CHOOSE(Inputs!$B$17,D101,D102,D103)</f>
        <v/>
      </c>
      <c r="E104" s="5">
        <f>CHOOSE(Inputs!$B$17,E101,E102,E103)</f>
        <v/>
      </c>
      <c r="F104" s="5">
        <f>CHOOSE(Inputs!$B$17,F101,F102,F103)</f>
        <v/>
      </c>
    </row>
    <row r="106">
      <c r="A106" s="3" t="inlineStr">
        <is>
          <t>ACV adj. EBITDA margin (standalone)</t>
        </is>
      </c>
      <c r="B106" s="17" t="inlineStr">
        <is>
          <t>FY27E</t>
        </is>
      </c>
      <c r="C106" s="17" t="inlineStr">
        <is>
          <t>FY28E</t>
        </is>
      </c>
      <c r="D106" s="17" t="inlineStr">
        <is>
          <t>FY29E</t>
        </is>
      </c>
      <c r="E106" s="17" t="inlineStr">
        <is>
          <t>FY30E</t>
        </is>
      </c>
      <c r="F106" s="17" t="inlineStr">
        <is>
          <t>FY31E</t>
        </is>
      </c>
      <c r="H106" s="11" t="inlineStr">
        <is>
          <t>CY26 guide $73-77M on $850M = 8.8%</t>
        </is>
      </c>
    </row>
    <row r="107">
      <c r="A107" t="inlineStr">
        <is>
          <t xml:space="preserve">   Bear</t>
        </is>
      </c>
      <c r="B107" s="16" t="n">
        <v>0.08500000000000001</v>
      </c>
      <c r="C107" s="16" t="n">
        <v>0.09</v>
      </c>
      <c r="D107" s="16" t="n">
        <v>0.095</v>
      </c>
      <c r="E107" s="16" t="n">
        <v>0.1</v>
      </c>
      <c r="F107" s="16" t="n">
        <v>0.1</v>
      </c>
    </row>
    <row r="108">
      <c r="A108" t="inlineStr">
        <is>
          <t xml:space="preserve">   Base</t>
        </is>
      </c>
      <c r="B108" s="16" t="n">
        <v>0.1</v>
      </c>
      <c r="C108" s="16" t="n">
        <v>0.12</v>
      </c>
      <c r="D108" s="16" t="n">
        <v>0.14</v>
      </c>
      <c r="E108" s="16" t="n">
        <v>0.15</v>
      </c>
      <c r="F108" s="16" t="n">
        <v>0.16</v>
      </c>
    </row>
    <row r="109">
      <c r="A109" t="inlineStr">
        <is>
          <t xml:space="preserve">   Bull</t>
        </is>
      </c>
      <c r="B109" s="16" t="n">
        <v>0.11</v>
      </c>
      <c r="C109" s="16" t="n">
        <v>0.14</v>
      </c>
      <c r="D109" s="16" t="n">
        <v>0.16</v>
      </c>
      <c r="E109" s="16" t="n">
        <v>0.18</v>
      </c>
      <c r="F109" s="16" t="n">
        <v>0.19</v>
      </c>
    </row>
    <row r="110">
      <c r="A110" s="17" t="inlineStr">
        <is>
          <t xml:space="preserve">   Active (per selector)</t>
        </is>
      </c>
      <c r="B110" s="5">
        <f>CHOOSE(Inputs!$B$17,B107,B108,B109)</f>
        <v/>
      </c>
      <c r="C110" s="5">
        <f>CHOOSE(Inputs!$B$17,C107,C108,C109)</f>
        <v/>
      </c>
      <c r="D110" s="5">
        <f>CHOOSE(Inputs!$B$17,D107,D108,D109)</f>
        <v/>
      </c>
      <c r="E110" s="5">
        <f>CHOOSE(Inputs!$B$17,E107,E108,E109)</f>
        <v/>
      </c>
      <c r="F110" s="5">
        <f>CHOOSE(Inputs!$B$17,F107,F108,F109)</f>
        <v/>
      </c>
    </row>
    <row r="112">
      <c r="A112" s="3" t="inlineStr">
        <is>
          <t>Target P/E on NTM EPS (12-mo)</t>
        </is>
      </c>
      <c r="B112" s="19" t="n">
        <v>15</v>
      </c>
      <c r="C112" s="19" t="n">
        <v>24</v>
      </c>
      <c r="D112" s="19" t="n">
        <v>30</v>
      </c>
      <c r="E112" s="8">
        <f>CHOOSE(Inputs!$B$17,B112,C112,D112)</f>
        <v/>
      </c>
      <c r="F112" s="17" t="inlineStr">
        <is>
          <t>&lt;- active</t>
        </is>
      </c>
      <c r="H112" s="11" t="inlineStr">
        <is>
          <t>Now 17.7x NTM (CapIQ); 2-yr avg 27x; 5-10 yr avg ~30x+. Bear = de-rate to RBA/KAR level</t>
        </is>
      </c>
    </row>
    <row r="113">
      <c r="A113" s="3" t="inlineStr">
        <is>
          <t>Target EV/EBITDA on NTM EBITDA (12-mo)</t>
        </is>
      </c>
      <c r="B113" s="19" t="n">
        <v>10</v>
      </c>
      <c r="C113" s="19" t="n">
        <v>15.5</v>
      </c>
      <c r="D113" s="19" t="n">
        <v>19</v>
      </c>
      <c r="E113" s="8">
        <f>CHOOSE(Inputs!$B$17,B113,C113,D113)</f>
        <v/>
      </c>
      <c r="F113" s="17" t="inlineStr">
        <is>
          <t>&lt;- active</t>
        </is>
      </c>
      <c r="H113" s="11" t="inlineStr">
        <is>
          <t>Now 11.3x NTM; 2-yr avg 18.9x; RBA ~13-15x LTM (levered, 30% lower margin)</t>
        </is>
      </c>
    </row>
    <row r="115">
      <c r="A115" s="9" t="inlineStr">
        <is>
          <t>ACV Auctions acquisition (announced 10-Sep-2026)</t>
        </is>
      </c>
      <c r="B115" s="10" t="n"/>
      <c r="C115" s="10" t="n"/>
      <c r="D115" s="10" t="n"/>
      <c r="E115" s="10" t="n"/>
      <c r="F115" s="10" t="n"/>
      <c r="G115" s="10" t="n"/>
      <c r="H115" s="10" t="n"/>
    </row>
    <row r="116">
      <c r="A116" t="inlineStr">
        <is>
          <t>Equity purchase price ($M, cash)</t>
        </is>
      </c>
      <c r="B116" s="18" t="n">
        <v>1900</v>
      </c>
      <c r="H116" s="11" t="inlineStr">
        <is>
          <t>$10.50/sh tender; ~35x CY25 adj. EBITDA, 2.7x sales</t>
        </is>
      </c>
    </row>
    <row r="117">
      <c r="A117" t="inlineStr">
        <is>
          <t>Expected close (fiscal month of FY27, 1-12)</t>
        </is>
      </c>
      <c r="B117" s="14" t="n">
        <v>5</v>
      </c>
      <c r="H117" s="11" t="inlineStr">
        <is>
          <t>Close targeted by CY-end 2026 -&gt; ~Dec-2026 = month 5 of FY27</t>
        </is>
      </c>
    </row>
    <row r="118">
      <c r="A118" t="inlineStr">
        <is>
          <t>Months consolidated in FY27</t>
        </is>
      </c>
      <c r="B118" s="6">
        <f>12-B117</f>
        <v/>
      </c>
      <c r="H118" s="11" t="inlineStr">
        <is>
          <t>formula</t>
        </is>
      </c>
    </row>
    <row r="119">
      <c r="A119" t="inlineStr">
        <is>
          <t>ACV CY2026E revenue ($M)</t>
        </is>
      </c>
      <c r="B119" s="18" t="n">
        <v>850</v>
      </c>
      <c r="H119" s="11" t="inlineStr">
        <is>
          <t>ACV guidance</t>
        </is>
      </c>
    </row>
    <row r="120">
      <c r="A120" t="inlineStr">
        <is>
          <t>ACV stock-based comp ($M/yr, CY26)</t>
        </is>
      </c>
      <c r="B120" s="18" t="n">
        <v>70</v>
      </c>
      <c r="H120" s="11" t="inlineStr">
        <is>
          <t>Assumption: gap between adj. EBITDA (~$75M) and GAAP op. loss (~-$46M) = SBC + D&amp;A</t>
        </is>
      </c>
    </row>
    <row r="121">
      <c r="A121" t="inlineStr">
        <is>
          <t>ACV existing D&amp;A ($M/yr, CY26)</t>
        </is>
      </c>
      <c r="B121" s="18" t="n">
        <v>50</v>
      </c>
      <c r="H121" s="11" t="inlineStr">
        <is>
          <t>Assumption (see above)</t>
        </is>
      </c>
    </row>
    <row r="122">
      <c r="A122" t="inlineStr">
        <is>
          <t>Acquired intangibles as % of price</t>
        </is>
      </c>
      <c r="B122" s="16" t="n">
        <v>0.3</v>
      </c>
      <c r="H122" s="11" t="inlineStr">
        <is>
          <t>Assumption; purchase price allocation not yet published</t>
        </is>
      </c>
    </row>
    <row r="123">
      <c r="A123" t="inlineStr">
        <is>
          <t>Intangible amortization life (yrs)</t>
        </is>
      </c>
      <c r="B123" s="14" t="n">
        <v>10</v>
      </c>
      <c r="H123" s="11" t="inlineStr">
        <is>
          <t>Assumption</t>
        </is>
      </c>
    </row>
    <row r="124">
      <c r="A124" t="inlineStr">
        <is>
          <t>Annual acquired-intangible amortization ($M)</t>
        </is>
      </c>
      <c r="B124" s="7">
        <f>B116*B122/B123</f>
        <v/>
      </c>
      <c r="H124" s="11" t="inlineStr">
        <is>
          <t>formula</t>
        </is>
      </c>
    </row>
    <row r="125">
      <c r="A125" t="inlineStr">
        <is>
          <t>ACV cost growth (SBC &amp; D&amp;A, per yr)</t>
        </is>
      </c>
      <c r="B125" s="16" t="n">
        <v>0.05</v>
      </c>
      <c r="H125" s="11" t="inlineStr">
        <is>
          <t>Assumption</t>
        </is>
      </c>
    </row>
    <row r="127">
      <c r="A127" s="9" t="inlineStr">
        <is>
          <t>DCF assumptions</t>
        </is>
      </c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t="inlineStr">
        <is>
          <t>Risk-free rate</t>
        </is>
      </c>
      <c r="B128" s="16" t="n">
        <v>0.042</v>
      </c>
      <c r="H128" s="11" t="inlineStr">
        <is>
          <t>10-yr UST, Sep-2026 (approx.)</t>
        </is>
      </c>
    </row>
    <row r="129">
      <c r="A129" t="inlineStr">
        <is>
          <t>Equity risk premium</t>
        </is>
      </c>
      <c r="B129" s="16" t="n">
        <v>0.045</v>
      </c>
      <c r="H129" s="11" t="inlineStr">
        <is>
          <t>Assumption</t>
        </is>
      </c>
    </row>
    <row r="130">
      <c r="A130" t="inlineStr">
        <is>
          <t>Beta</t>
        </is>
      </c>
      <c r="B130" s="20" t="n">
        <v>1</v>
      </c>
      <c r="H130" s="11" t="inlineStr">
        <is>
          <t>CNBC/StockAnalysis 5-yr beta ~1.03-1.04</t>
        </is>
      </c>
    </row>
    <row r="131">
      <c r="A131" t="inlineStr">
        <is>
          <t>Cost of equity</t>
        </is>
      </c>
      <c r="B131" s="5">
        <f>B128+B130*B129</f>
        <v/>
      </c>
      <c r="H131" s="11" t="inlineStr">
        <is>
          <t>CAPM</t>
        </is>
      </c>
    </row>
    <row r="132">
      <c r="A132" t="inlineStr">
        <is>
          <t>Pre-tax cost of debt</t>
        </is>
      </c>
      <c r="B132" s="16" t="n">
        <v>0.05</v>
      </c>
      <c r="H132" s="11" t="inlineStr">
        <is>
          <t>Undrawn revolver; immaterial</t>
        </is>
      </c>
    </row>
    <row r="133">
      <c r="A133" t="inlineStr">
        <is>
          <t>Debt weight</t>
        </is>
      </c>
      <c r="B133" s="16" t="n">
        <v>0</v>
      </c>
      <c r="H133" s="11" t="inlineStr">
        <is>
          <t>No funded debt</t>
        </is>
      </c>
    </row>
    <row r="134">
      <c r="A134" t="inlineStr">
        <is>
          <t>WACC</t>
        </is>
      </c>
      <c r="B134" s="5">
        <f>B131*(1-B133)+B132*(1-0.195)*B133</f>
        <v/>
      </c>
      <c r="H134" s="11" t="inlineStr">
        <is>
          <t>formula</t>
        </is>
      </c>
    </row>
    <row r="135">
      <c r="A135" t="inlineStr">
        <is>
          <t>Terminal FCF growth</t>
        </is>
      </c>
      <c r="B135" s="16" t="n">
        <v>0.035</v>
      </c>
      <c r="H135" s="11" t="inlineStr">
        <is>
          <t>RPU growth alone has run +3-6%/yr; intl expansion; conservative vs 10-yr revenue CAGR ~13%</t>
        </is>
      </c>
    </row>
    <row r="136">
      <c r="A136" t="inlineStr">
        <is>
          <t>Mid-year convention (1 = yes)</t>
        </is>
      </c>
      <c r="B136" s="14" t="n">
        <v>1</v>
      </c>
      <c r="H136" s="11" t="inlineStr"/>
    </row>
  </sheetData>
  <dataValidations count="1">
    <dataValidation sqref="B17" showDropDown="0" showInputMessage="0" showErrorMessage="0" allowBlank="0" type="list">
      <formula1>"1,2,3"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HISTORICAL FINANCIALS (S&amp;P Capital IQ export; FY ends Jul-31; $M)</t>
        </is>
      </c>
      <c r="B1" s="2" t="n"/>
      <c r="C1" s="2" t="n"/>
      <c r="D1" s="2" t="n"/>
      <c r="E1" s="2" t="n"/>
      <c r="F1" s="2" t="n"/>
      <c r="G1" s="2" t="n"/>
      <c r="H1" s="2" t="n"/>
    </row>
    <row r="3">
      <c r="B3" s="3" t="inlineStr">
        <is>
          <t>FY21A</t>
        </is>
      </c>
      <c r="C3" s="3" t="inlineStr">
        <is>
          <t>FY22A</t>
        </is>
      </c>
      <c r="D3" s="3" t="inlineStr">
        <is>
          <t>FY23A</t>
        </is>
      </c>
      <c r="E3" s="3" t="inlineStr">
        <is>
          <t>FY24A</t>
        </is>
      </c>
      <c r="F3" s="3" t="inlineStr">
        <is>
          <t>FY25A</t>
        </is>
      </c>
      <c r="G3" s="3" t="inlineStr">
        <is>
          <t>FY26A</t>
        </is>
      </c>
    </row>
    <row r="4">
      <c r="A4" s="3" t="inlineStr">
        <is>
          <t>Total revenue</t>
        </is>
      </c>
      <c r="B4" s="13" t="n">
        <v>2692.5</v>
      </c>
      <c r="C4" s="13" t="n">
        <v>3500.9</v>
      </c>
      <c r="D4" s="13" t="n">
        <v>3869.5</v>
      </c>
      <c r="E4" s="13" t="n">
        <v>4236.8</v>
      </c>
      <c r="F4" s="13" t="n">
        <v>4647</v>
      </c>
      <c r="G4" s="13" t="n">
        <v>4666.2</v>
      </c>
    </row>
    <row r="5">
      <c r="A5" s="6" t="inlineStr">
        <is>
          <t xml:space="preserve">  US revenue</t>
        </is>
      </c>
      <c r="B5" s="13" t="n">
        <v>2272.1</v>
      </c>
      <c r="C5" s="13" t="n">
        <v>2945.2</v>
      </c>
      <c r="D5" s="13" t="n">
        <v>3189.6</v>
      </c>
      <c r="E5" s="13" t="n">
        <v>3464.7</v>
      </c>
      <c r="F5" s="13" t="n">
        <v>3855.1</v>
      </c>
      <c r="G5" s="13" t="n">
        <v>3807.4</v>
      </c>
    </row>
    <row r="6">
      <c r="A6" s="6" t="inlineStr">
        <is>
          <t xml:space="preserve">  International revenue</t>
        </is>
      </c>
      <c r="B6" s="13" t="n">
        <v>420.4</v>
      </c>
      <c r="C6" s="13" t="n">
        <v>555.8</v>
      </c>
      <c r="D6" s="13" t="n">
        <v>679.9</v>
      </c>
      <c r="E6" s="13" t="n">
        <v>772.1</v>
      </c>
      <c r="F6" s="13" t="n">
        <v>791.9</v>
      </c>
      <c r="G6" s="13" t="n">
        <v>858.8</v>
      </c>
    </row>
    <row r="7">
      <c r="A7" s="6" t="inlineStr">
        <is>
          <t xml:space="preserve">  Service revenue</t>
        </is>
      </c>
      <c r="F7" s="13" t="n">
        <v>3968.7</v>
      </c>
      <c r="G7" s="13" t="n">
        <v>3969.5</v>
      </c>
    </row>
    <row r="8">
      <c r="A8" s="6" t="inlineStr">
        <is>
          <t xml:space="preserve">  Vehicle sales</t>
        </is>
      </c>
      <c r="F8" s="13" t="n">
        <v>678.3</v>
      </c>
      <c r="G8" s="13" t="n">
        <v>696.7</v>
      </c>
    </row>
    <row r="9">
      <c r="A9" s="3" t="inlineStr">
        <is>
          <t>Gross profit (co. definition)</t>
        </is>
      </c>
      <c r="B9" s="13" t="n">
        <v>1343.1</v>
      </c>
      <c r="C9" s="13" t="n">
        <v>1606.2</v>
      </c>
      <c r="D9" s="13" t="n">
        <v>1737</v>
      </c>
      <c r="E9" s="13" t="n">
        <v>1939.2</v>
      </c>
      <c r="F9" s="13" t="n">
        <v>2099.6</v>
      </c>
      <c r="G9" s="13" t="n">
        <v>2083.9</v>
      </c>
    </row>
    <row r="10">
      <c r="A10" s="3" t="inlineStr">
        <is>
          <t>Operating income (EBIT)</t>
        </is>
      </c>
      <c r="B10" s="13" t="n">
        <v>1136.4</v>
      </c>
      <c r="C10" s="13" t="n">
        <v>1375</v>
      </c>
      <c r="D10" s="13" t="n">
        <v>1486.6</v>
      </c>
      <c r="E10" s="13" t="n">
        <v>1573.2</v>
      </c>
      <c r="F10" s="13" t="n">
        <v>1752.7</v>
      </c>
      <c r="G10" s="13" t="n">
        <v>1652.6</v>
      </c>
    </row>
    <row r="11">
      <c r="A11" s="6" t="inlineStr">
        <is>
          <t xml:space="preserve">  US EBIT</t>
        </is>
      </c>
      <c r="B11" s="13" t="n">
        <v>1023.6</v>
      </c>
      <c r="C11" s="13" t="n">
        <v>1247.6</v>
      </c>
      <c r="D11" s="13" t="n">
        <v>1368.1</v>
      </c>
      <c r="E11" s="13" t="n">
        <v>1428</v>
      </c>
      <c r="F11" s="13" t="n">
        <v>1480.9</v>
      </c>
      <c r="G11" s="13" t="n">
        <v>1419</v>
      </c>
    </row>
    <row r="12">
      <c r="A12" s="6" t="inlineStr">
        <is>
          <t xml:space="preserve">  International EBIT</t>
        </is>
      </c>
      <c r="B12" s="13" t="n">
        <v>112.9</v>
      </c>
      <c r="C12" s="13" t="n">
        <v>127.4</v>
      </c>
      <c r="D12" s="13" t="n">
        <v>118.5</v>
      </c>
      <c r="E12" s="13" t="n">
        <v>144</v>
      </c>
      <c r="F12" s="13" t="n">
        <v>215.8</v>
      </c>
      <c r="G12" s="13" t="n">
        <v>233.6</v>
      </c>
    </row>
    <row r="13">
      <c r="A13" s="3" t="inlineStr">
        <is>
          <t>D&amp;A</t>
        </is>
      </c>
      <c r="B13" s="13" t="n">
        <v>112.4</v>
      </c>
      <c r="C13" s="13" t="n">
        <v>128.8</v>
      </c>
      <c r="D13" s="13" t="n">
        <v>152.3</v>
      </c>
      <c r="E13" s="13" t="n">
        <v>181.1</v>
      </c>
      <c r="F13" s="13" t="n">
        <v>202.8</v>
      </c>
      <c r="G13" s="13" t="n">
        <v>229.4</v>
      </c>
    </row>
    <row r="14">
      <c r="A14" s="3" t="inlineStr">
        <is>
          <t>EBITDA</t>
        </is>
      </c>
      <c r="B14" s="13" t="n">
        <v>1248.8</v>
      </c>
      <c r="C14" s="13" t="n">
        <v>1503.8</v>
      </c>
      <c r="D14" s="13" t="n">
        <v>1638.9</v>
      </c>
      <c r="E14" s="13" t="n">
        <v>1754.3</v>
      </c>
      <c r="F14" s="13" t="n">
        <v>1955.5</v>
      </c>
      <c r="G14" s="13" t="n">
        <v>1882</v>
      </c>
    </row>
    <row r="15">
      <c r="A15" s="3" t="inlineStr">
        <is>
          <t>Interest &amp; investment income (net)</t>
        </is>
      </c>
      <c r="B15" s="13" t="n">
        <v>-20.2</v>
      </c>
      <c r="C15" s="13" t="n">
        <v>-16.7</v>
      </c>
      <c r="D15" s="13" t="n">
        <v>65.90000000000001</v>
      </c>
      <c r="E15" s="13" t="n">
        <v>145.7</v>
      </c>
      <c r="F15" s="13" t="n">
        <v>178.9</v>
      </c>
      <c r="G15" s="13" t="n">
        <v>181.9</v>
      </c>
    </row>
    <row r="16">
      <c r="A16" s="3" t="inlineStr">
        <is>
          <t>Pre-tax income</t>
        </is>
      </c>
      <c r="B16" s="13" t="n">
        <v>1121.8</v>
      </c>
      <c r="C16" s="13" t="n">
        <v>1341</v>
      </c>
      <c r="D16" s="13" t="n">
        <v>1554.3</v>
      </c>
      <c r="E16" s="13" t="n">
        <v>1714.6</v>
      </c>
      <c r="F16" s="13" t="n">
        <v>1895.6</v>
      </c>
      <c r="G16" s="13" t="n">
        <v>1835</v>
      </c>
    </row>
    <row r="17">
      <c r="A17" s="3" t="inlineStr">
        <is>
          <t>Income tax</t>
        </is>
      </c>
      <c r="B17" s="13" t="n">
        <v>185.4</v>
      </c>
      <c r="C17" s="13" t="n">
        <v>250.8</v>
      </c>
      <c r="D17" s="13" t="n">
        <v>316.6</v>
      </c>
      <c r="E17" s="13" t="n">
        <v>352.3</v>
      </c>
      <c r="F17" s="13" t="n">
        <v>347.2</v>
      </c>
      <c r="G17" s="13" t="n">
        <v>354.6</v>
      </c>
    </row>
    <row r="18">
      <c r="A18" s="3" t="inlineStr">
        <is>
          <t>Net income</t>
        </is>
      </c>
      <c r="B18" s="13" t="n">
        <v>936.5</v>
      </c>
      <c r="C18" s="13" t="n">
        <v>1090.1</v>
      </c>
      <c r="D18" s="13" t="n">
        <v>1237.7</v>
      </c>
      <c r="E18" s="13" t="n">
        <v>1363</v>
      </c>
      <c r="F18" s="13" t="n">
        <v>1552.4</v>
      </c>
      <c r="G18" s="13" t="n">
        <v>1484.3</v>
      </c>
    </row>
    <row r="19">
      <c r="A19" s="3" t="inlineStr">
        <is>
          <t>Diluted EPS ($)</t>
        </is>
      </c>
      <c r="B19" s="12" t="n">
        <v>0.97</v>
      </c>
      <c r="C19" s="12" t="n">
        <v>1.13</v>
      </c>
      <c r="D19" s="12" t="n">
        <v>1.28</v>
      </c>
      <c r="E19" s="12" t="n">
        <v>1.4</v>
      </c>
      <c r="F19" s="12" t="n">
        <v>1.59</v>
      </c>
      <c r="G19" s="12" t="n">
        <v>1.55</v>
      </c>
    </row>
    <row r="20">
      <c r="A20" s="3" t="inlineStr">
        <is>
          <t>Diluted shares (M)</t>
        </is>
      </c>
      <c r="B20" s="13" t="n">
        <v>961.2</v>
      </c>
      <c r="C20" s="13" t="n">
        <v>964.6</v>
      </c>
      <c r="D20" s="13" t="n">
        <v>966.6</v>
      </c>
      <c r="E20" s="13" t="n">
        <v>974.8</v>
      </c>
      <c r="F20" s="13" t="n">
        <v>977.6</v>
      </c>
      <c r="G20" s="13" t="n">
        <v>956.9</v>
      </c>
    </row>
    <row r="21">
      <c r="A21" s="3" t="inlineStr">
        <is>
          <t>Cash from operations</t>
        </is>
      </c>
      <c r="B21" s="13" t="n">
        <v>990.9</v>
      </c>
      <c r="C21" s="13" t="n">
        <v>1176.7</v>
      </c>
      <c r="D21" s="13" t="n">
        <v>1364.2</v>
      </c>
      <c r="E21" s="13" t="n">
        <v>1472.6</v>
      </c>
      <c r="F21" s="13" t="n">
        <v>1799.8</v>
      </c>
      <c r="G21" s="13" t="n">
        <v>1604.5</v>
      </c>
    </row>
    <row r="22">
      <c r="A22" s="3" t="inlineStr">
        <is>
          <t>Capital expenditure</t>
        </is>
      </c>
      <c r="B22" s="13" t="n">
        <v>-463</v>
      </c>
      <c r="C22" s="13" t="n">
        <v>-337.4</v>
      </c>
      <c r="D22" s="13" t="n">
        <v>-516.6</v>
      </c>
      <c r="E22" s="13" t="n">
        <v>-511</v>
      </c>
      <c r="F22" s="13" t="n">
        <v>-569</v>
      </c>
      <c r="G22" s="13" t="n">
        <v>-337.4</v>
      </c>
    </row>
    <row r="23">
      <c r="A23" s="3" t="inlineStr">
        <is>
          <t>Share repurchases</t>
        </is>
      </c>
      <c r="B23" s="13" t="n">
        <v>-6.1</v>
      </c>
      <c r="C23" s="13" t="n">
        <v>-1.9</v>
      </c>
      <c r="D23" s="13" t="n">
        <v>-4.7</v>
      </c>
      <c r="E23" s="13" t="n">
        <v>-6.6</v>
      </c>
      <c r="F23" s="13" t="n">
        <v>-5.3</v>
      </c>
      <c r="G23" s="13" t="n">
        <v>-1636.3</v>
      </c>
    </row>
    <row r="24">
      <c r="A24" s="3" t="inlineStr">
        <is>
          <t>Cash &amp; ST investments (year-end)</t>
        </is>
      </c>
      <c r="B24" s="13" t="n">
        <v>1048.3</v>
      </c>
      <c r="C24" s="13" t="n">
        <v>1384.2</v>
      </c>
      <c r="D24" s="13" t="n">
        <v>2364</v>
      </c>
      <c r="E24" s="13" t="n">
        <v>3422.2</v>
      </c>
      <c r="F24" s="13" t="n">
        <v>4789.1</v>
      </c>
      <c r="G24" s="13" t="n">
        <v>4489.8</v>
      </c>
    </row>
    <row r="25">
      <c r="A25" s="3" t="inlineStr">
        <is>
          <t>Total debt (leases)</t>
        </is>
      </c>
      <c r="B25" s="13" t="n">
        <v>518.1</v>
      </c>
      <c r="C25" s="13" t="n">
        <v>119.5</v>
      </c>
      <c r="D25" s="13" t="n">
        <v>120.5</v>
      </c>
      <c r="E25" s="13" t="n">
        <v>118.7</v>
      </c>
      <c r="F25" s="13" t="n">
        <v>103.7</v>
      </c>
      <c r="G25" s="13" t="n">
        <v>88.40000000000001</v>
      </c>
    </row>
    <row r="26">
      <c r="A26" s="3" t="inlineStr">
        <is>
          <t>Land (at cost)</t>
        </is>
      </c>
      <c r="B26" s="13" t="n">
        <v>1428.3</v>
      </c>
      <c r="C26" s="13" t="n">
        <v>1526.4</v>
      </c>
      <c r="D26" s="13" t="n">
        <v>1812</v>
      </c>
      <c r="E26" s="13" t="n">
        <v>2027.6</v>
      </c>
      <c r="F26" s="13" t="n">
        <v>2394.6</v>
      </c>
    </row>
    <row r="28">
      <c r="A28" s="9" t="inlineStr">
        <is>
          <t>Derived ratios</t>
        </is>
      </c>
      <c r="B28" s="10" t="n"/>
      <c r="C28" s="10" t="n"/>
      <c r="D28" s="10" t="n"/>
      <c r="E28" s="10" t="n"/>
      <c r="F28" s="10" t="n"/>
      <c r="G28" s="10" t="n"/>
      <c r="H28" s="10" t="n"/>
    </row>
    <row r="29">
      <c r="A29" t="inlineStr">
        <is>
          <t>Revenue growth</t>
        </is>
      </c>
      <c r="C29" s="5">
        <f>IF(B4="","",C4/B4-1)</f>
        <v/>
      </c>
      <c r="D29" s="5">
        <f>IF(C4="","",D4/C4-1)</f>
        <v/>
      </c>
      <c r="E29" s="5">
        <f>IF(D4="","",E4/D4-1)</f>
        <v/>
      </c>
      <c r="F29" s="5">
        <f>IF(E4="","",F4/E4-1)</f>
        <v/>
      </c>
      <c r="G29" s="5">
        <f>IF(F4="","",G4/F4-1)</f>
        <v/>
      </c>
    </row>
    <row r="30">
      <c r="A30" t="inlineStr">
        <is>
          <t>EBIT margin</t>
        </is>
      </c>
      <c r="B30" s="5">
        <f>B10/B4</f>
        <v/>
      </c>
      <c r="C30" s="5">
        <f>C10/C4</f>
        <v/>
      </c>
      <c r="D30" s="5">
        <f>D10/D4</f>
        <v/>
      </c>
      <c r="E30" s="5">
        <f>E10/E4</f>
        <v/>
      </c>
      <c r="F30" s="5">
        <f>F10/F4</f>
        <v/>
      </c>
      <c r="G30" s="5">
        <f>G10/G4</f>
        <v/>
      </c>
    </row>
    <row r="31">
      <c r="A31" t="inlineStr">
        <is>
          <t>EBITDA margin</t>
        </is>
      </c>
      <c r="B31" s="5">
        <f>B14/B4</f>
        <v/>
      </c>
      <c r="C31" s="5">
        <f>C14/C4</f>
        <v/>
      </c>
      <c r="D31" s="5">
        <f>D14/D4</f>
        <v/>
      </c>
      <c r="E31" s="5">
        <f>E14/E4</f>
        <v/>
      </c>
      <c r="F31" s="5">
        <f>F14/F4</f>
        <v/>
      </c>
      <c r="G31" s="5">
        <f>G14/G4</f>
        <v/>
      </c>
    </row>
    <row r="32">
      <c r="A32" t="inlineStr">
        <is>
          <t>Free cash flow (CFO - capex)</t>
        </is>
      </c>
      <c r="B32" s="21">
        <f>B21+B22</f>
        <v/>
      </c>
      <c r="C32" s="21">
        <f>C21+C22</f>
        <v/>
      </c>
      <c r="D32" s="21">
        <f>D21+D22</f>
        <v/>
      </c>
      <c r="E32" s="21">
        <f>E21+E22</f>
        <v/>
      </c>
      <c r="F32" s="21">
        <f>F21+F22</f>
        <v/>
      </c>
      <c r="G32" s="21">
        <f>G21+G22</f>
        <v/>
      </c>
    </row>
    <row r="33">
      <c r="A33" t="inlineStr">
        <is>
          <t>FCF margin</t>
        </is>
      </c>
      <c r="B33" s="5">
        <f>(B21+B22)/B4</f>
        <v/>
      </c>
      <c r="C33" s="5">
        <f>(C21+C22)/C4</f>
        <v/>
      </c>
      <c r="D33" s="5">
        <f>(D21+D22)/D4</f>
        <v/>
      </c>
      <c r="E33" s="5">
        <f>(E21+E22)/E4</f>
        <v/>
      </c>
      <c r="F33" s="5">
        <f>(F21+F22)/F4</f>
        <v/>
      </c>
      <c r="G33" s="5">
        <f>(G21+G22)/G4</f>
        <v/>
      </c>
    </row>
    <row r="34">
      <c r="A34" t="inlineStr">
        <is>
          <t>Capex % revenue</t>
        </is>
      </c>
      <c r="B34" s="5">
        <f>-B22/B4</f>
        <v/>
      </c>
      <c r="C34" s="5">
        <f>-C22/C4</f>
        <v/>
      </c>
      <c r="D34" s="5">
        <f>-D22/D4</f>
        <v/>
      </c>
      <c r="E34" s="5">
        <f>-E22/E4</f>
        <v/>
      </c>
      <c r="F34" s="5">
        <f>-F22/F4</f>
        <v/>
      </c>
      <c r="G34" s="5">
        <f>-G22/G4</f>
        <v/>
      </c>
    </row>
    <row r="35">
      <c r="A35" t="inlineStr">
        <is>
          <t>International % revenue</t>
        </is>
      </c>
      <c r="B35" s="5">
        <f>B6/B4</f>
        <v/>
      </c>
      <c r="C35" s="5">
        <f>C6/C4</f>
        <v/>
      </c>
      <c r="D35" s="5">
        <f>D6/D4</f>
        <v/>
      </c>
      <c r="E35" s="5">
        <f>E6/E4</f>
        <v/>
      </c>
      <c r="F35" s="5">
        <f>F6/F4</f>
        <v/>
      </c>
      <c r="G35" s="5">
        <f>G6/G4</f>
        <v/>
      </c>
    </row>
    <row r="36">
      <c r="A36" t="inlineStr">
        <is>
          <t>Effective tax rate</t>
        </is>
      </c>
      <c r="B36" s="5">
        <f>B17/B16</f>
        <v/>
      </c>
      <c r="C36" s="5">
        <f>C17/C16</f>
        <v/>
      </c>
      <c r="D36" s="5">
        <f>D17/D16</f>
        <v/>
      </c>
      <c r="E36" s="5">
        <f>E17/E16</f>
        <v/>
      </c>
      <c r="F36" s="5">
        <f>F17/F16</f>
        <v/>
      </c>
      <c r="G36" s="5">
        <f>G17/G16</f>
        <v/>
      </c>
    </row>
    <row r="38">
      <c r="A38" s="9" t="inlineStr">
        <is>
          <t>Valuation history (CapIQ, quarterly averages of daily multiples)</t>
        </is>
      </c>
      <c r="B38" s="10" t="n"/>
      <c r="C38" s="10" t="n"/>
      <c r="D38" s="10" t="n"/>
      <c r="E38" s="10" t="n"/>
      <c r="F38" s="10" t="n"/>
      <c r="G38" s="10" t="n"/>
      <c r="H38" s="10" t="n"/>
    </row>
    <row r="39">
      <c r="B39" s="3" t="inlineStr">
        <is>
          <t>CQ4-24</t>
        </is>
      </c>
      <c r="C39" s="3" t="inlineStr">
        <is>
          <t>CQ1-25</t>
        </is>
      </c>
      <c r="D39" s="3" t="inlineStr">
        <is>
          <t>CQ2-25</t>
        </is>
      </c>
      <c r="E39" s="3" t="inlineStr">
        <is>
          <t>CQ3-25</t>
        </is>
      </c>
      <c r="F39" s="3" t="inlineStr">
        <is>
          <t>CQ4-25</t>
        </is>
      </c>
      <c r="G39" s="3" t="inlineStr">
        <is>
          <t>CQ1-26</t>
        </is>
      </c>
      <c r="H39" s="3" t="inlineStr">
        <is>
          <t>CQ2-26</t>
        </is>
      </c>
      <c r="I39" s="3" t="inlineStr">
        <is>
          <t>CQ3-26*</t>
        </is>
      </c>
    </row>
    <row r="40">
      <c r="A40" t="inlineStr">
        <is>
          <t>TEV / NTM EBITDA (avg)</t>
        </is>
      </c>
      <c r="B40" s="19" t="n">
        <v>25.8</v>
      </c>
      <c r="C40" s="19" t="n">
        <v>24.5</v>
      </c>
      <c r="D40" s="19" t="n">
        <v>23.8</v>
      </c>
      <c r="E40" s="19" t="n">
        <v>19.6</v>
      </c>
      <c r="F40" s="19" t="n">
        <v>17</v>
      </c>
      <c r="G40" s="19" t="n">
        <v>15.4</v>
      </c>
      <c r="H40" s="19" t="n">
        <v>13</v>
      </c>
      <c r="I40" s="19" t="n">
        <v>11.9</v>
      </c>
      <c r="J40" s="8">
        <f>AVERAGE(B40:I40)</f>
        <v/>
      </c>
      <c r="K40" s="17" t="inlineStr">
        <is>
          <t>2-yr avg</t>
        </is>
      </c>
    </row>
    <row r="41">
      <c r="A41" t="inlineStr">
        <is>
          <t>P / NTM EPS (avg)</t>
        </is>
      </c>
      <c r="B41" s="19" t="n">
        <v>36.1</v>
      </c>
      <c r="C41" s="19" t="n">
        <v>34.5</v>
      </c>
      <c r="D41" s="19" t="n">
        <v>33.7</v>
      </c>
      <c r="E41" s="19" t="n">
        <v>28.4</v>
      </c>
      <c r="F41" s="19" t="n">
        <v>24.6</v>
      </c>
      <c r="G41" s="19" t="n">
        <v>22.9</v>
      </c>
      <c r="H41" s="19" t="n">
        <v>20</v>
      </c>
      <c r="I41" s="19" t="n">
        <v>18.5</v>
      </c>
      <c r="J41" s="8">
        <f>AVERAGE(B41:I41)</f>
        <v/>
      </c>
      <c r="K41" s="17" t="inlineStr">
        <is>
          <t>2-yr avg</t>
        </is>
      </c>
    </row>
    <row r="42">
      <c r="A42" t="inlineStr">
        <is>
          <t>TEV / NTM revenue (avg)</t>
        </is>
      </c>
      <c r="B42" s="19" t="n">
        <v>11</v>
      </c>
      <c r="C42" s="19" t="n">
        <v>10.5</v>
      </c>
      <c r="D42" s="19" t="n">
        <v>10.2</v>
      </c>
      <c r="E42" s="19" t="n">
        <v>8.4</v>
      </c>
      <c r="F42" s="19" t="n">
        <v>7.3</v>
      </c>
      <c r="G42" s="19" t="n">
        <v>6.6</v>
      </c>
      <c r="H42" s="19" t="n">
        <v>5.5</v>
      </c>
      <c r="I42" s="19" t="n">
        <v>5</v>
      </c>
      <c r="J42" s="8">
        <f>AVERAGE(B42:I42)</f>
        <v/>
      </c>
      <c r="K42" s="17" t="inlineStr">
        <is>
          <t>2-yr avg</t>
        </is>
      </c>
    </row>
    <row r="43">
      <c r="A43" s="11" t="inlineStr">
        <is>
          <t>* quarter-to-date through 24-Sep-2026. Source: Capital IQ 'Multiples' tab of provided export.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" customWidth="1" min="8" max="8"/>
    <col width="40" customWidth="1" min="9" max="9"/>
  </cols>
  <sheetData>
    <row r="1">
      <c r="A1" s="1" t="inlineStr">
        <is>
          <t>OPERATING MODEL - ACTIVE SCENARIO (change Inputs!B17)  |  $M, FY ends Jul-31</t>
        </is>
      </c>
      <c r="B1" s="2" t="n"/>
      <c r="C1" s="2" t="n"/>
      <c r="D1" s="2" t="n"/>
      <c r="E1" s="2" t="n"/>
      <c r="F1" s="2" t="n"/>
      <c r="G1" s="2" t="n"/>
      <c r="H1" s="1">
        <f>CHOOSE(Inputs!$B$17,"BEAR","BASE","BULL")</f>
        <v/>
      </c>
    </row>
    <row r="2">
      <c r="B2" s="3" t="inlineStr">
        <is>
          <t>FY26A</t>
        </is>
      </c>
      <c r="C2" s="3" t="inlineStr">
        <is>
          <t>FY27E</t>
        </is>
      </c>
      <c r="D2" s="3" t="inlineStr">
        <is>
          <t>FY28E</t>
        </is>
      </c>
      <c r="E2" s="3" t="inlineStr">
        <is>
          <t>FY29E</t>
        </is>
      </c>
      <c r="F2" s="3" t="inlineStr">
        <is>
          <t>FY30E</t>
        </is>
      </c>
      <c r="G2" s="3" t="inlineStr">
        <is>
          <t>FY31E</t>
        </is>
      </c>
    </row>
    <row r="3">
      <c r="A3" s="9" t="inlineStr">
        <is>
          <t>Core Copart (ex-ACV)</t>
        </is>
      </c>
      <c r="B3" s="10" t="n"/>
      <c r="C3" s="10" t="n"/>
      <c r="D3" s="10" t="n"/>
      <c r="E3" s="10" t="n"/>
      <c r="F3" s="10" t="n"/>
      <c r="G3" s="10" t="n"/>
    </row>
    <row r="4">
      <c r="A4" t="inlineStr">
        <is>
          <t>US revenue</t>
        </is>
      </c>
      <c r="B4" s="13" t="n">
        <v>3807.4</v>
      </c>
      <c r="C4" s="21">
        <f>B4*(1+Inputs!$B$26)*(1+Inputs!$B$38)</f>
        <v/>
      </c>
      <c r="D4" s="21">
        <f>C4*(1+Inputs!$C$26)*(1+Inputs!$C$38)</f>
        <v/>
      </c>
      <c r="E4" s="21">
        <f>D4*(1+Inputs!$D$26)*(1+Inputs!$D$38)</f>
        <v/>
      </c>
      <c r="F4" s="21">
        <f>E4*(1+Inputs!$E$26)*(1+Inputs!$E$38)</f>
        <v/>
      </c>
      <c r="G4" s="21">
        <f>F4*(1+Inputs!$F$26)*(1+Inputs!$F$38)</f>
        <v/>
      </c>
    </row>
    <row r="5">
      <c r="A5" t="inlineStr">
        <is>
          <t>International revenue</t>
        </is>
      </c>
      <c r="B5" s="13" t="n">
        <v>858.8</v>
      </c>
      <c r="C5" s="21">
        <f>B5*(1+Inputs!$B$32)*(1+Inputs!$B$38)</f>
        <v/>
      </c>
      <c r="D5" s="21">
        <f>C5*(1+Inputs!$C$32)*(1+Inputs!$C$38)</f>
        <v/>
      </c>
      <c r="E5" s="21">
        <f>D5*(1+Inputs!$D$32)*(1+Inputs!$D$38)</f>
        <v/>
      </c>
      <c r="F5" s="21">
        <f>E5*(1+Inputs!$E$32)*(1+Inputs!$E$38)</f>
        <v/>
      </c>
      <c r="G5" s="21">
        <f>F5*(1+Inputs!$F$32)*(1+Inputs!$F$38)</f>
        <v/>
      </c>
    </row>
    <row r="6">
      <c r="A6" s="3" t="inlineStr">
        <is>
          <t>Core revenue</t>
        </is>
      </c>
      <c r="B6" s="22">
        <f>B4+B5</f>
        <v/>
      </c>
      <c r="C6" s="21">
        <f>C4+C5</f>
        <v/>
      </c>
      <c r="D6" s="21">
        <f>D4+D5</f>
        <v/>
      </c>
      <c r="E6" s="21">
        <f>E4+E5</f>
        <v/>
      </c>
      <c r="F6" s="21">
        <f>F4+F5</f>
        <v/>
      </c>
      <c r="G6" s="21">
        <f>G4+G5</f>
        <v/>
      </c>
    </row>
    <row r="7">
      <c r="A7" t="inlineStr">
        <is>
          <t xml:space="preserve">  growth</t>
        </is>
      </c>
      <c r="C7" s="5">
        <f>C6/B6-1</f>
        <v/>
      </c>
      <c r="D7" s="5">
        <f>D6/C6-1</f>
        <v/>
      </c>
      <c r="E7" s="5">
        <f>E6/D6-1</f>
        <v/>
      </c>
      <c r="F7" s="5">
        <f>F6/E6-1</f>
        <v/>
      </c>
      <c r="G7" s="5">
        <f>G6/F6-1</f>
        <v/>
      </c>
    </row>
    <row r="8">
      <c r="A8" t="inlineStr">
        <is>
          <t>Core EBIT margin</t>
        </is>
      </c>
      <c r="B8" s="23">
        <f>B9/B6</f>
        <v/>
      </c>
      <c r="C8" s="5">
        <f>Inputs!$B$44</f>
        <v/>
      </c>
      <c r="D8" s="5">
        <f>Inputs!$C$44</f>
        <v/>
      </c>
      <c r="E8" s="5">
        <f>Inputs!$D$44</f>
        <v/>
      </c>
      <c r="F8" s="5">
        <f>Inputs!$E$44</f>
        <v/>
      </c>
      <c r="G8" s="5">
        <f>Inputs!$F$44</f>
        <v/>
      </c>
    </row>
    <row r="9">
      <c r="A9" s="3" t="inlineStr">
        <is>
          <t>Core EBIT</t>
        </is>
      </c>
      <c r="B9" s="13" t="n">
        <v>1652.6</v>
      </c>
      <c r="C9" s="21">
        <f>C6*C8</f>
        <v/>
      </c>
      <c r="D9" s="21">
        <f>D6*D8</f>
        <v/>
      </c>
      <c r="E9" s="21">
        <f>E6*E8</f>
        <v/>
      </c>
      <c r="F9" s="21">
        <f>F6*F8</f>
        <v/>
      </c>
      <c r="G9" s="21">
        <f>G6*G8</f>
        <v/>
      </c>
    </row>
    <row r="10">
      <c r="A10" t="inlineStr">
        <is>
          <t>Core D&amp;A</t>
        </is>
      </c>
      <c r="B10" s="13" t="n">
        <v>229.4</v>
      </c>
      <c r="C10" s="21">
        <f>C6*Inputs!$B$50</f>
        <v/>
      </c>
      <c r="D10" s="21">
        <f>D6*Inputs!$C$50</f>
        <v/>
      </c>
      <c r="E10" s="21">
        <f>E6*Inputs!$D$50</f>
        <v/>
      </c>
      <c r="F10" s="21">
        <f>F6*Inputs!$E$50</f>
        <v/>
      </c>
      <c r="G10" s="21">
        <f>G6*Inputs!$F$50</f>
        <v/>
      </c>
    </row>
    <row r="11">
      <c r="A11" t="inlineStr">
        <is>
          <t>Core capex</t>
        </is>
      </c>
      <c r="B11" s="13" t="n">
        <v>337.4</v>
      </c>
      <c r="C11" s="21">
        <f>C6*Inputs!$B$56</f>
        <v/>
      </c>
      <c r="D11" s="21">
        <f>D6*Inputs!$C$56</f>
        <v/>
      </c>
      <c r="E11" s="21">
        <f>E6*Inputs!$D$56</f>
        <v/>
      </c>
      <c r="F11" s="21">
        <f>F6*Inputs!$E$56</f>
        <v/>
      </c>
      <c r="G11" s="21">
        <f>G6*Inputs!$F$56</f>
        <v/>
      </c>
    </row>
    <row r="12">
      <c r="A12" s="9" t="inlineStr">
        <is>
          <t>ACV Auctions (consolidated from close; CY figures used as FY proxy)</t>
        </is>
      </c>
      <c r="B12" s="10" t="n"/>
      <c r="C12" s="10" t="n"/>
      <c r="D12" s="10" t="n"/>
      <c r="E12" s="10" t="n"/>
      <c r="F12" s="10" t="n"/>
      <c r="G12" s="10" t="n"/>
    </row>
    <row r="13">
      <c r="A13" t="inlineStr">
        <is>
          <t>Consolidation factor (share of year)</t>
        </is>
      </c>
      <c r="B13" s="20" t="n">
        <v>0</v>
      </c>
      <c r="C13" s="24">
        <f>Inputs!$B$118/12</f>
        <v/>
      </c>
      <c r="D13" s="24">
        <f>1</f>
        <v/>
      </c>
      <c r="E13" s="24">
        <f>1</f>
        <v/>
      </c>
      <c r="F13" s="24">
        <f>1</f>
        <v/>
      </c>
      <c r="G13" s="24">
        <f>1</f>
        <v/>
      </c>
    </row>
    <row r="14">
      <c r="A14" t="inlineStr">
        <is>
          <t>ACV revenue (annualized run-rate)</t>
        </is>
      </c>
      <c r="C14" s="21">
        <f>Inputs!$B$119*(1+Inputs!$B$104)</f>
        <v/>
      </c>
      <c r="D14" s="21">
        <f>C14*(1+Inputs!$C$104)</f>
        <v/>
      </c>
      <c r="E14" s="21">
        <f>D14*(1+Inputs!$D$104)</f>
        <v/>
      </c>
      <c r="F14" s="21">
        <f>E14*(1+Inputs!$E$104)</f>
        <v/>
      </c>
      <c r="G14" s="21">
        <f>F14*(1+Inputs!$F$104)</f>
        <v/>
      </c>
    </row>
    <row r="15">
      <c r="A15" t="inlineStr">
        <is>
          <t>ACV revenue consolidated</t>
        </is>
      </c>
      <c r="B15" s="13" t="n">
        <v>0</v>
      </c>
      <c r="C15" s="21">
        <f>C14*C13</f>
        <v/>
      </c>
      <c r="D15" s="21">
        <f>D14*D13</f>
        <v/>
      </c>
      <c r="E15" s="21">
        <f>E14*E13</f>
        <v/>
      </c>
      <c r="F15" s="21">
        <f>F14*F13</f>
        <v/>
      </c>
      <c r="G15" s="21">
        <f>G14*G13</f>
        <v/>
      </c>
    </row>
    <row r="16">
      <c r="A16" t="inlineStr">
        <is>
          <t>ACV adj. EBITDA (standalone)</t>
        </is>
      </c>
      <c r="C16" s="21">
        <f>C15*Inputs!$B$110</f>
        <v/>
      </c>
      <c r="D16" s="21">
        <f>D15*Inputs!$C$110</f>
        <v/>
      </c>
      <c r="E16" s="21">
        <f>E15*Inputs!$D$110</f>
        <v/>
      </c>
      <c r="F16" s="21">
        <f>F15*Inputs!$E$110</f>
        <v/>
      </c>
      <c r="G16" s="21">
        <f>G15*Inputs!$F$110</f>
        <v/>
      </c>
    </row>
    <row r="17">
      <c r="A17" t="inlineStr">
        <is>
          <t xml:space="preserve">  less: ACV SBC</t>
        </is>
      </c>
      <c r="C17" s="21">
        <f>-Inputs!$B$120*(1+Inputs!$B$125)^1*C13</f>
        <v/>
      </c>
      <c r="D17" s="21">
        <f>-Inputs!$B$120*(1+Inputs!$B$125)^2*D13</f>
        <v/>
      </c>
      <c r="E17" s="21">
        <f>-Inputs!$B$120*(1+Inputs!$B$125)^3*E13</f>
        <v/>
      </c>
      <c r="F17" s="21">
        <f>-Inputs!$B$120*(1+Inputs!$B$125)^4*F13</f>
        <v/>
      </c>
      <c r="G17" s="21">
        <f>-Inputs!$B$120*(1+Inputs!$B$125)^5*G13</f>
        <v/>
      </c>
    </row>
    <row r="18">
      <c r="A18" t="inlineStr">
        <is>
          <t xml:space="preserve">  less: ACV existing D&amp;A</t>
        </is>
      </c>
      <c r="C18" s="21">
        <f>-Inputs!$B$121*(1+Inputs!$B$125)^1*C13</f>
        <v/>
      </c>
      <c r="D18" s="21">
        <f>-Inputs!$B$121*(1+Inputs!$B$125)^2*D13</f>
        <v/>
      </c>
      <c r="E18" s="21">
        <f>-Inputs!$B$121*(1+Inputs!$B$125)^3*E13</f>
        <v/>
      </c>
      <c r="F18" s="21">
        <f>-Inputs!$B$121*(1+Inputs!$B$125)^4*F13</f>
        <v/>
      </c>
      <c r="G18" s="21">
        <f>-Inputs!$B$121*(1+Inputs!$B$125)^5*G13</f>
        <v/>
      </c>
    </row>
    <row r="19">
      <c r="A19" t="inlineStr">
        <is>
          <t xml:space="preserve">  less: acquired-intangible amortization</t>
        </is>
      </c>
      <c r="C19" s="21">
        <f>-Inputs!$B$124*C13</f>
        <v/>
      </c>
      <c r="D19" s="21">
        <f>-Inputs!$B$124*D13</f>
        <v/>
      </c>
      <c r="E19" s="21">
        <f>-Inputs!$B$124*E13</f>
        <v/>
      </c>
      <c r="F19" s="21">
        <f>-Inputs!$B$124*F13</f>
        <v/>
      </c>
      <c r="G19" s="21">
        <f>-Inputs!$B$124*G13</f>
        <v/>
      </c>
    </row>
    <row r="20">
      <c r="A20" t="inlineStr">
        <is>
          <t xml:space="preserve">  plus: synergies (pre-tax)</t>
        </is>
      </c>
      <c r="C20" s="21">
        <f>Inputs!$B$98</f>
        <v/>
      </c>
      <c r="D20" s="21">
        <f>Inputs!$C$98</f>
        <v/>
      </c>
      <c r="E20" s="21">
        <f>Inputs!$D$98</f>
        <v/>
      </c>
      <c r="F20" s="21">
        <f>Inputs!$E$98</f>
        <v/>
      </c>
      <c r="G20" s="21">
        <f>Inputs!$F$98</f>
        <v/>
      </c>
    </row>
    <row r="21">
      <c r="A21" s="3" t="inlineStr">
        <is>
          <t>ACV EBIT contribution (GAAP)</t>
        </is>
      </c>
      <c r="B21" s="13" t="n">
        <v>0</v>
      </c>
      <c r="C21" s="21">
        <f>SUM(C16:C20)</f>
        <v/>
      </c>
      <c r="D21" s="21">
        <f>SUM(D16:D20)</f>
        <v/>
      </c>
      <c r="E21" s="21">
        <f>SUM(E16:E20)</f>
        <v/>
      </c>
      <c r="F21" s="21">
        <f>SUM(F16:F20)</f>
        <v/>
      </c>
      <c r="G21" s="21">
        <f>SUM(G16:G20)</f>
        <v/>
      </c>
    </row>
    <row r="22">
      <c r="A22" t="inlineStr">
        <is>
          <t>ACV D&amp;A (total)</t>
        </is>
      </c>
      <c r="B22" s="13" t="n">
        <v>0</v>
      </c>
      <c r="C22" s="21">
        <f>-C18-C19</f>
        <v/>
      </c>
      <c r="D22" s="21">
        <f>-D18-D19</f>
        <v/>
      </c>
      <c r="E22" s="21">
        <f>-E18-E19</f>
        <v/>
      </c>
      <c r="F22" s="21">
        <f>-F18-F19</f>
        <v/>
      </c>
      <c r="G22" s="21">
        <f>-G18-G19</f>
        <v/>
      </c>
    </row>
    <row r="23">
      <c r="A23" t="inlineStr">
        <is>
          <t>ACV capex</t>
        </is>
      </c>
      <c r="B23" s="13" t="n">
        <v>0</v>
      </c>
      <c r="C23" s="21">
        <f>C15*0.02</f>
        <v/>
      </c>
      <c r="D23" s="21">
        <f>D15*0.02</f>
        <v/>
      </c>
      <c r="E23" s="21">
        <f>E15*0.02</f>
        <v/>
      </c>
      <c r="F23" s="21">
        <f>F15*0.02</f>
        <v/>
      </c>
      <c r="G23" s="21">
        <f>G15*0.02</f>
        <v/>
      </c>
    </row>
    <row r="24">
      <c r="A24" s="9" t="inlineStr">
        <is>
          <t>Consolidated P&amp;L</t>
        </is>
      </c>
      <c r="B24" s="10" t="n"/>
      <c r="C24" s="10" t="n"/>
      <c r="D24" s="10" t="n"/>
      <c r="E24" s="10" t="n"/>
      <c r="F24" s="10" t="n"/>
      <c r="G24" s="10" t="n"/>
    </row>
    <row r="25">
      <c r="A25" s="3" t="inlineStr">
        <is>
          <t>Total revenue</t>
        </is>
      </c>
      <c r="B25" s="22">
        <f>B6</f>
        <v/>
      </c>
      <c r="C25" s="21">
        <f>C6+C15</f>
        <v/>
      </c>
      <c r="D25" s="21">
        <f>D6+D15</f>
        <v/>
      </c>
      <c r="E25" s="21">
        <f>E6+E15</f>
        <v/>
      </c>
      <c r="F25" s="21">
        <f>F6+F15</f>
        <v/>
      </c>
      <c r="G25" s="21">
        <f>G6+G15</f>
        <v/>
      </c>
    </row>
    <row r="26">
      <c r="A26" t="inlineStr">
        <is>
          <t xml:space="preserve">  growth</t>
        </is>
      </c>
      <c r="C26" s="5">
        <f>C25/B25-1</f>
        <v/>
      </c>
      <c r="D26" s="5">
        <f>D25/C25-1</f>
        <v/>
      </c>
      <c r="E26" s="5">
        <f>E25/D25-1</f>
        <v/>
      </c>
      <c r="F26" s="5">
        <f>F25/E25-1</f>
        <v/>
      </c>
      <c r="G26" s="5">
        <f>G25/F25-1</f>
        <v/>
      </c>
    </row>
    <row r="27">
      <c r="A27" s="3" t="inlineStr">
        <is>
          <t>EBIT</t>
        </is>
      </c>
      <c r="B27" s="22">
        <f>B9</f>
        <v/>
      </c>
      <c r="C27" s="21">
        <f>C9+C21</f>
        <v/>
      </c>
      <c r="D27" s="21">
        <f>D9+D21</f>
        <v/>
      </c>
      <c r="E27" s="21">
        <f>E9+E21</f>
        <v/>
      </c>
      <c r="F27" s="21">
        <f>F9+F21</f>
        <v/>
      </c>
      <c r="G27" s="21">
        <f>G9+G21</f>
        <v/>
      </c>
    </row>
    <row r="28">
      <c r="A28" t="inlineStr">
        <is>
          <t xml:space="preserve">  EBIT margin</t>
        </is>
      </c>
      <c r="B28" s="23">
        <f>B27/B25</f>
        <v/>
      </c>
      <c r="C28" s="5">
        <f>C27/C25</f>
        <v/>
      </c>
      <c r="D28" s="5">
        <f>D27/D25</f>
        <v/>
      </c>
      <c r="E28" s="5">
        <f>E27/E25</f>
        <v/>
      </c>
      <c r="F28" s="5">
        <f>F27/F25</f>
        <v/>
      </c>
      <c r="G28" s="5">
        <f>G27/G25</f>
        <v/>
      </c>
    </row>
    <row r="29">
      <c r="A29" t="inlineStr">
        <is>
          <t>D&amp;A</t>
        </is>
      </c>
      <c r="B29" s="22">
        <f>B10</f>
        <v/>
      </c>
      <c r="C29" s="21">
        <f>C10+C22</f>
        <v/>
      </c>
      <c r="D29" s="21">
        <f>D10+D22</f>
        <v/>
      </c>
      <c r="E29" s="21">
        <f>E10+E22</f>
        <v/>
      </c>
      <c r="F29" s="21">
        <f>F10+F22</f>
        <v/>
      </c>
      <c r="G29" s="21">
        <f>G10+G22</f>
        <v/>
      </c>
    </row>
    <row r="30">
      <c r="A30" s="3" t="inlineStr">
        <is>
          <t>EBITDA</t>
        </is>
      </c>
      <c r="B30" s="22">
        <f>B27+B29</f>
        <v/>
      </c>
      <c r="C30" s="21">
        <f>C27+C29</f>
        <v/>
      </c>
      <c r="D30" s="21">
        <f>D27+D29</f>
        <v/>
      </c>
      <c r="E30" s="21">
        <f>E27+E29</f>
        <v/>
      </c>
      <c r="F30" s="21">
        <f>F27+F29</f>
        <v/>
      </c>
      <c r="G30" s="21">
        <f>G27+G29</f>
        <v/>
      </c>
    </row>
    <row r="31">
      <c r="A31" t="inlineStr">
        <is>
          <t>Interest income on cash</t>
        </is>
      </c>
      <c r="B31" s="13" t="n">
        <v>181.9</v>
      </c>
      <c r="C31" s="21">
        <f>(B44+C42+C43)*Inputs!$B$74</f>
        <v/>
      </c>
      <c r="D31" s="21">
        <f>(C44+D42+D43)*Inputs!$C$74</f>
        <v/>
      </c>
      <c r="E31" s="21">
        <f>(D44+E42+E43)*Inputs!$D$74</f>
        <v/>
      </c>
      <c r="F31" s="21">
        <f>(E44+F42+F43)*Inputs!$E$74</f>
        <v/>
      </c>
      <c r="G31" s="21">
        <f>(F44+G42+G43)*Inputs!$F$74</f>
        <v/>
      </c>
      <c r="I31" s="11" t="inlineStr">
        <is>
          <t>On beginning cash less buybacks &amp; ACV outlay (avoids circularity)</t>
        </is>
      </c>
    </row>
    <row r="32">
      <c r="A32" s="3" t="inlineStr">
        <is>
          <t>Pre-tax income</t>
        </is>
      </c>
      <c r="B32" s="13" t="n">
        <v>1835</v>
      </c>
      <c r="C32" s="21">
        <f>C27+C31</f>
        <v/>
      </c>
      <c r="D32" s="21">
        <f>D27+D31</f>
        <v/>
      </c>
      <c r="E32" s="21">
        <f>E27+E31</f>
        <v/>
      </c>
      <c r="F32" s="21">
        <f>F27+F31</f>
        <v/>
      </c>
      <c r="G32" s="21">
        <f>G27+G31</f>
        <v/>
      </c>
    </row>
    <row r="33">
      <c r="A33" t="inlineStr">
        <is>
          <t>Tax</t>
        </is>
      </c>
      <c r="B33" s="13" t="n">
        <v>-354.6</v>
      </c>
      <c r="C33" s="21">
        <f>-C32*Inputs!$B$68</f>
        <v/>
      </c>
      <c r="D33" s="21">
        <f>-D32*Inputs!$C$68</f>
        <v/>
      </c>
      <c r="E33" s="21">
        <f>-E32*Inputs!$D$68</f>
        <v/>
      </c>
      <c r="F33" s="21">
        <f>-F32*Inputs!$E$68</f>
        <v/>
      </c>
      <c r="G33" s="21">
        <f>-G32*Inputs!$F$68</f>
        <v/>
      </c>
    </row>
    <row r="34">
      <c r="A34" s="3" t="inlineStr">
        <is>
          <t>Net income</t>
        </is>
      </c>
      <c r="B34" s="13" t="n">
        <v>1484.3</v>
      </c>
      <c r="C34" s="21">
        <f>C32+C33</f>
        <v/>
      </c>
      <c r="D34" s="21">
        <f>D32+D33</f>
        <v/>
      </c>
      <c r="E34" s="21">
        <f>E32+E33</f>
        <v/>
      </c>
      <c r="F34" s="21">
        <f>F32+F33</f>
        <v/>
      </c>
      <c r="G34" s="21">
        <f>G32+G33</f>
        <v/>
      </c>
    </row>
    <row r="35">
      <c r="A35" t="inlineStr">
        <is>
          <t>Diluted shares (M, avg)</t>
        </is>
      </c>
      <c r="B35" s="13" t="n">
        <v>956.86</v>
      </c>
      <c r="C35" s="21">
        <f>AVERAGE(B46,C46)</f>
        <v/>
      </c>
      <c r="D35" s="21">
        <f>AVERAGE(C46,D46)</f>
        <v/>
      </c>
      <c r="E35" s="21">
        <f>AVERAGE(D46,E46)</f>
        <v/>
      </c>
      <c r="F35" s="21">
        <f>AVERAGE(E46,F46)</f>
        <v/>
      </c>
      <c r="G35" s="21">
        <f>AVERAGE(F46,G46)</f>
        <v/>
      </c>
    </row>
    <row r="36">
      <c r="A36" s="3" t="inlineStr">
        <is>
          <t>Diluted EPS ($)</t>
        </is>
      </c>
      <c r="B36" s="12" t="n">
        <v>1.55</v>
      </c>
      <c r="C36" s="4">
        <f>C34/C35</f>
        <v/>
      </c>
      <c r="D36" s="4">
        <f>D34/D35</f>
        <v/>
      </c>
      <c r="E36" s="4">
        <f>E34/E35</f>
        <v/>
      </c>
      <c r="F36" s="4">
        <f>F34/F35</f>
        <v/>
      </c>
      <c r="G36" s="4">
        <f>G34/G35</f>
        <v/>
      </c>
    </row>
    <row r="37">
      <c r="A37" t="inlineStr">
        <is>
          <t xml:space="preserve">  EPS growth</t>
        </is>
      </c>
      <c r="C37" s="5">
        <f>C36/B36-1</f>
        <v/>
      </c>
      <c r="D37" s="5">
        <f>D36/C36-1</f>
        <v/>
      </c>
      <c r="E37" s="5">
        <f>E36/D36-1</f>
        <v/>
      </c>
      <c r="F37" s="5">
        <f>F36/E36-1</f>
        <v/>
      </c>
      <c r="G37" s="5">
        <f>G36/F36-1</f>
        <v/>
      </c>
    </row>
    <row r="38">
      <c r="A38" t="inlineStr">
        <is>
          <t>Cash EPS (ex acquired-intangible amort., $)</t>
        </is>
      </c>
      <c r="B38" s="12" t="n">
        <v>1.55</v>
      </c>
      <c r="C38" s="4">
        <f>(C34-C19*(1-Inputs!$B$68))/C35</f>
        <v/>
      </c>
      <c r="D38" s="4">
        <f>(D34-D19*(1-Inputs!$C$68))/D35</f>
        <v/>
      </c>
      <c r="E38" s="4">
        <f>(E34-E19*(1-Inputs!$D$68))/E35</f>
        <v/>
      </c>
      <c r="F38" s="4">
        <f>(F34-F19*(1-Inputs!$E$68))/F35</f>
        <v/>
      </c>
      <c r="G38" s="4">
        <f>(G34-G19*(1-Inputs!$F$68))/G35</f>
        <v/>
      </c>
    </row>
    <row r="39">
      <c r="A39" s="9" t="inlineStr">
        <is>
          <t>Cash flow &amp; share count</t>
        </is>
      </c>
      <c r="B39" s="10" t="n"/>
      <c r="C39" s="10" t="n"/>
      <c r="D39" s="10" t="n"/>
      <c r="E39" s="10" t="n"/>
      <c r="F39" s="10" t="n"/>
      <c r="G39" s="10" t="n"/>
    </row>
    <row r="40">
      <c r="A40" s="3" t="inlineStr">
        <is>
          <t>Unlevered FCF (EBIT*(1-t) + D&amp;A - capex - dNWC)</t>
        </is>
      </c>
      <c r="C40" s="21">
        <f>C27*(1-Inputs!$B$68)+C29-C11-C23-(C25-B25)*Inputs!$B$62</f>
        <v/>
      </c>
      <c r="D40" s="21">
        <f>D27*(1-Inputs!$C$68)+D29-D11-D23-(D25-C25)*Inputs!$C$62</f>
        <v/>
      </c>
      <c r="E40" s="21">
        <f>E27*(1-Inputs!$D$68)+E29-E11-E23-(E25-D25)*Inputs!$D$62</f>
        <v/>
      </c>
      <c r="F40" s="21">
        <f>F27*(1-Inputs!$E$68)+F29-F11-F23-(F25-E25)*Inputs!$E$62</f>
        <v/>
      </c>
      <c r="G40" s="21">
        <f>G27*(1-Inputs!$F$68)+G29-G11-G23-(G25-F25)*Inputs!$F$62</f>
        <v/>
      </c>
    </row>
    <row r="41">
      <c r="A41" t="inlineStr">
        <is>
          <t>Levered FCF (NI + D&amp;A - capex - dNWC)</t>
        </is>
      </c>
      <c r="B41" s="13" t="n">
        <v>1376.3</v>
      </c>
      <c r="C41" s="21">
        <f>C34+C29-C11-C23-(C25-B25)*Inputs!$B$62</f>
        <v/>
      </c>
      <c r="D41" s="21">
        <f>D34+D29-D11-D23-(D25-C25)*Inputs!$C$62</f>
        <v/>
      </c>
      <c r="E41" s="21">
        <f>E34+E29-E11-E23-(E25-D25)*Inputs!$D$62</f>
        <v/>
      </c>
      <c r="F41" s="21">
        <f>F34+F29-F11-F23-(F25-E25)*Inputs!$E$62</f>
        <v/>
      </c>
      <c r="G41" s="21">
        <f>G34+G29-G11-G23-(G25-F25)*Inputs!$F$62</f>
        <v/>
      </c>
    </row>
    <row r="42">
      <c r="A42" t="inlineStr">
        <is>
          <t>Share buybacks</t>
        </is>
      </c>
      <c r="B42" s="13" t="n">
        <v>-1636.3</v>
      </c>
      <c r="C42" s="21">
        <f>-Inputs!$B$80</f>
        <v/>
      </c>
      <c r="D42" s="21">
        <f>-Inputs!$C$80</f>
        <v/>
      </c>
      <c r="E42" s="21">
        <f>-Inputs!$D$80</f>
        <v/>
      </c>
      <c r="F42" s="21">
        <f>-Inputs!$E$80</f>
        <v/>
      </c>
      <c r="G42" s="21">
        <f>-Inputs!$F$80</f>
        <v/>
      </c>
    </row>
    <row r="43">
      <c r="A43" t="inlineStr">
        <is>
          <t>ACV acquisition</t>
        </is>
      </c>
      <c r="B43" s="13" t="n">
        <v>0</v>
      </c>
      <c r="C43" s="21">
        <f>-Inputs!$B$116</f>
        <v/>
      </c>
      <c r="D43" s="21">
        <f>0</f>
        <v/>
      </c>
      <c r="E43" s="21">
        <f>0</f>
        <v/>
      </c>
      <c r="F43" s="21">
        <f>0</f>
        <v/>
      </c>
      <c r="G43" s="21">
        <f>0</f>
        <v/>
      </c>
    </row>
    <row r="44">
      <c r="A44" s="3" t="inlineStr">
        <is>
          <t>Ending cash &amp; investments</t>
        </is>
      </c>
      <c r="B44" s="13" t="n">
        <v>4489.8</v>
      </c>
      <c r="C44" s="21">
        <f>B44+C41+C42+C43</f>
        <v/>
      </c>
      <c r="D44" s="21">
        <f>C44+D41+D42+D43</f>
        <v/>
      </c>
      <c r="E44" s="21">
        <f>D44+E41+E42+E43</f>
        <v/>
      </c>
      <c r="F44" s="21">
        <f>E44+F41+F42+F43</f>
        <v/>
      </c>
      <c r="G44" s="21">
        <f>F44+G41+G42+G43</f>
        <v/>
      </c>
    </row>
    <row r="45">
      <c r="A45" t="inlineStr">
        <is>
          <t>Shares repurchased (M)</t>
        </is>
      </c>
      <c r="C45" s="21">
        <f>Inputs!$B$80/Inputs!$B$86</f>
        <v/>
      </c>
      <c r="D45" s="21">
        <f>Inputs!$C$80/Inputs!$C$86</f>
        <v/>
      </c>
      <c r="E45" s="21">
        <f>Inputs!$D$80/Inputs!$D$86</f>
        <v/>
      </c>
      <c r="F45" s="21">
        <f>Inputs!$E$80/Inputs!$E$86</f>
        <v/>
      </c>
      <c r="G45" s="21">
        <f>Inputs!$F$80/Inputs!$F$86</f>
        <v/>
      </c>
    </row>
    <row r="46">
      <c r="A46" t="inlineStr">
        <is>
          <t>Ending diluted shares (M)</t>
        </is>
      </c>
      <c r="B46" s="13" t="n">
        <v>927</v>
      </c>
      <c r="C46" s="21">
        <f>B46*(1+Inputs!$B$92)-C45</f>
        <v/>
      </c>
      <c r="D46" s="21">
        <f>C46*(1+Inputs!$C$92)-D45</f>
        <v/>
      </c>
      <c r="E46" s="21">
        <f>D46*(1+Inputs!$D$92)-E45</f>
        <v/>
      </c>
      <c r="F46" s="21">
        <f>E46*(1+Inputs!$E$92)-F45</f>
        <v/>
      </c>
      <c r="G46" s="21">
        <f>F46*(1+Inputs!$F$92)-G45</f>
        <v/>
      </c>
      <c r="I46" s="11" t="inlineStr">
        <is>
          <t>FY26 end-point: 925.8M basic + ~1M dilution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" customWidth="1" min="8" max="8"/>
    <col width="40" customWidth="1" min="9" max="9"/>
  </cols>
  <sheetData>
    <row r="1">
      <c r="A1" s="1" t="inlineStr">
        <is>
          <t>BEAR CASE - full model</t>
        </is>
      </c>
      <c r="B1" s="2" t="n"/>
      <c r="C1" s="2" t="n"/>
      <c r="D1" s="2" t="n"/>
      <c r="E1" s="2" t="n"/>
      <c r="F1" s="2" t="n"/>
      <c r="G1" s="2" t="n"/>
    </row>
    <row r="2">
      <c r="B2" s="3" t="inlineStr">
        <is>
          <t>FY26A</t>
        </is>
      </c>
      <c r="C2" s="3" t="inlineStr">
        <is>
          <t>FY27E</t>
        </is>
      </c>
      <c r="D2" s="3" t="inlineStr">
        <is>
          <t>FY28E</t>
        </is>
      </c>
      <c r="E2" s="3" t="inlineStr">
        <is>
          <t>FY29E</t>
        </is>
      </c>
      <c r="F2" s="3" t="inlineStr">
        <is>
          <t>FY30E</t>
        </is>
      </c>
      <c r="G2" s="3" t="inlineStr">
        <is>
          <t>FY31E</t>
        </is>
      </c>
    </row>
    <row r="3">
      <c r="A3" s="9" t="inlineStr">
        <is>
          <t>Core Copart (ex-ACV)</t>
        </is>
      </c>
      <c r="B3" s="10" t="n"/>
      <c r="C3" s="10" t="n"/>
      <c r="D3" s="10" t="n"/>
      <c r="E3" s="10" t="n"/>
      <c r="F3" s="10" t="n"/>
      <c r="G3" s="10" t="n"/>
    </row>
    <row r="4">
      <c r="A4" t="inlineStr">
        <is>
          <t>US revenue</t>
        </is>
      </c>
      <c r="B4" s="13" t="n">
        <v>3807.4</v>
      </c>
      <c r="C4" s="21">
        <f>B4*(1+Inputs!$B$23)*(1+Inputs!$B$35)</f>
        <v/>
      </c>
      <c r="D4" s="21">
        <f>C4*(1+Inputs!$C$23)*(1+Inputs!$C$35)</f>
        <v/>
      </c>
      <c r="E4" s="21">
        <f>D4*(1+Inputs!$D$23)*(1+Inputs!$D$35)</f>
        <v/>
      </c>
      <c r="F4" s="21">
        <f>E4*(1+Inputs!$E$23)*(1+Inputs!$E$35)</f>
        <v/>
      </c>
      <c r="G4" s="21">
        <f>F4*(1+Inputs!$F$23)*(1+Inputs!$F$35)</f>
        <v/>
      </c>
    </row>
    <row r="5">
      <c r="A5" t="inlineStr">
        <is>
          <t>International revenue</t>
        </is>
      </c>
      <c r="B5" s="13" t="n">
        <v>858.8</v>
      </c>
      <c r="C5" s="21">
        <f>B5*(1+Inputs!$B$29)*(1+Inputs!$B$35)</f>
        <v/>
      </c>
      <c r="D5" s="21">
        <f>C5*(1+Inputs!$C$29)*(1+Inputs!$C$35)</f>
        <v/>
      </c>
      <c r="E5" s="21">
        <f>D5*(1+Inputs!$D$29)*(1+Inputs!$D$35)</f>
        <v/>
      </c>
      <c r="F5" s="21">
        <f>E5*(1+Inputs!$E$29)*(1+Inputs!$E$35)</f>
        <v/>
      </c>
      <c r="G5" s="21">
        <f>F5*(1+Inputs!$F$29)*(1+Inputs!$F$35)</f>
        <v/>
      </c>
    </row>
    <row r="6">
      <c r="A6" s="3" t="inlineStr">
        <is>
          <t>Core revenue</t>
        </is>
      </c>
      <c r="B6" s="22">
        <f>B4+B5</f>
        <v/>
      </c>
      <c r="C6" s="21">
        <f>C4+C5</f>
        <v/>
      </c>
      <c r="D6" s="21">
        <f>D4+D5</f>
        <v/>
      </c>
      <c r="E6" s="21">
        <f>E4+E5</f>
        <v/>
      </c>
      <c r="F6" s="21">
        <f>F4+F5</f>
        <v/>
      </c>
      <c r="G6" s="21">
        <f>G4+G5</f>
        <v/>
      </c>
    </row>
    <row r="7">
      <c r="A7" t="inlineStr">
        <is>
          <t xml:space="preserve">  growth</t>
        </is>
      </c>
      <c r="C7" s="5">
        <f>C6/B6-1</f>
        <v/>
      </c>
      <c r="D7" s="5">
        <f>D6/C6-1</f>
        <v/>
      </c>
      <c r="E7" s="5">
        <f>E6/D6-1</f>
        <v/>
      </c>
      <c r="F7" s="5">
        <f>F6/E6-1</f>
        <v/>
      </c>
      <c r="G7" s="5">
        <f>G6/F6-1</f>
        <v/>
      </c>
    </row>
    <row r="8">
      <c r="A8" t="inlineStr">
        <is>
          <t>Core EBIT margin</t>
        </is>
      </c>
      <c r="B8" s="23">
        <f>B9/B6</f>
        <v/>
      </c>
      <c r="C8" s="5">
        <f>Inputs!$B$41</f>
        <v/>
      </c>
      <c r="D8" s="5">
        <f>Inputs!$C$41</f>
        <v/>
      </c>
      <c r="E8" s="5">
        <f>Inputs!$D$41</f>
        <v/>
      </c>
      <c r="F8" s="5">
        <f>Inputs!$E$41</f>
        <v/>
      </c>
      <c r="G8" s="5">
        <f>Inputs!$F$41</f>
        <v/>
      </c>
    </row>
    <row r="9">
      <c r="A9" s="3" t="inlineStr">
        <is>
          <t>Core EBIT</t>
        </is>
      </c>
      <c r="B9" s="13" t="n">
        <v>1652.6</v>
      </c>
      <c r="C9" s="21">
        <f>C6*C8</f>
        <v/>
      </c>
      <c r="D9" s="21">
        <f>D6*D8</f>
        <v/>
      </c>
      <c r="E9" s="21">
        <f>E6*E8</f>
        <v/>
      </c>
      <c r="F9" s="21">
        <f>F6*F8</f>
        <v/>
      </c>
      <c r="G9" s="21">
        <f>G6*G8</f>
        <v/>
      </c>
    </row>
    <row r="10">
      <c r="A10" t="inlineStr">
        <is>
          <t>Core D&amp;A</t>
        </is>
      </c>
      <c r="B10" s="13" t="n">
        <v>229.4</v>
      </c>
      <c r="C10" s="21">
        <f>C6*Inputs!$B$47</f>
        <v/>
      </c>
      <c r="D10" s="21">
        <f>D6*Inputs!$C$47</f>
        <v/>
      </c>
      <c r="E10" s="21">
        <f>E6*Inputs!$D$47</f>
        <v/>
      </c>
      <c r="F10" s="21">
        <f>F6*Inputs!$E$47</f>
        <v/>
      </c>
      <c r="G10" s="21">
        <f>G6*Inputs!$F$47</f>
        <v/>
      </c>
    </row>
    <row r="11">
      <c r="A11" t="inlineStr">
        <is>
          <t>Core capex</t>
        </is>
      </c>
      <c r="B11" s="13" t="n">
        <v>337.4</v>
      </c>
      <c r="C11" s="21">
        <f>C6*Inputs!$B$53</f>
        <v/>
      </c>
      <c r="D11" s="21">
        <f>D6*Inputs!$C$53</f>
        <v/>
      </c>
      <c r="E11" s="21">
        <f>E6*Inputs!$D$53</f>
        <v/>
      </c>
      <c r="F11" s="21">
        <f>F6*Inputs!$E$53</f>
        <v/>
      </c>
      <c r="G11" s="21">
        <f>G6*Inputs!$F$53</f>
        <v/>
      </c>
    </row>
    <row r="12">
      <c r="A12" s="9" t="inlineStr">
        <is>
          <t>ACV Auctions (consolidated from close; CY figures used as FY proxy)</t>
        </is>
      </c>
      <c r="B12" s="10" t="n"/>
      <c r="C12" s="10" t="n"/>
      <c r="D12" s="10" t="n"/>
      <c r="E12" s="10" t="n"/>
      <c r="F12" s="10" t="n"/>
      <c r="G12" s="10" t="n"/>
    </row>
    <row r="13">
      <c r="A13" t="inlineStr">
        <is>
          <t>Consolidation factor (share of year)</t>
        </is>
      </c>
      <c r="B13" s="20" t="n">
        <v>0</v>
      </c>
      <c r="C13" s="24">
        <f>Inputs!$B$118/12</f>
        <v/>
      </c>
      <c r="D13" s="24">
        <f>1</f>
        <v/>
      </c>
      <c r="E13" s="24">
        <f>1</f>
        <v/>
      </c>
      <c r="F13" s="24">
        <f>1</f>
        <v/>
      </c>
      <c r="G13" s="24">
        <f>1</f>
        <v/>
      </c>
    </row>
    <row r="14">
      <c r="A14" t="inlineStr">
        <is>
          <t>ACV revenue (annualized run-rate)</t>
        </is>
      </c>
      <c r="C14" s="21">
        <f>Inputs!$B$119*(1+Inputs!$B$101)</f>
        <v/>
      </c>
      <c r="D14" s="21">
        <f>C14*(1+Inputs!$C$101)</f>
        <v/>
      </c>
      <c r="E14" s="21">
        <f>D14*(1+Inputs!$D$101)</f>
        <v/>
      </c>
      <c r="F14" s="21">
        <f>E14*(1+Inputs!$E$101)</f>
        <v/>
      </c>
      <c r="G14" s="21">
        <f>F14*(1+Inputs!$F$101)</f>
        <v/>
      </c>
    </row>
    <row r="15">
      <c r="A15" t="inlineStr">
        <is>
          <t>ACV revenue consolidated</t>
        </is>
      </c>
      <c r="B15" s="13" t="n">
        <v>0</v>
      </c>
      <c r="C15" s="21">
        <f>C14*C13</f>
        <v/>
      </c>
      <c r="D15" s="21">
        <f>D14*D13</f>
        <v/>
      </c>
      <c r="E15" s="21">
        <f>E14*E13</f>
        <v/>
      </c>
      <c r="F15" s="21">
        <f>F14*F13</f>
        <v/>
      </c>
      <c r="G15" s="21">
        <f>G14*G13</f>
        <v/>
      </c>
    </row>
    <row r="16">
      <c r="A16" t="inlineStr">
        <is>
          <t>ACV adj. EBITDA (standalone)</t>
        </is>
      </c>
      <c r="C16" s="21">
        <f>C15*Inputs!$B$107</f>
        <v/>
      </c>
      <c r="D16" s="21">
        <f>D15*Inputs!$C$107</f>
        <v/>
      </c>
      <c r="E16" s="21">
        <f>E15*Inputs!$D$107</f>
        <v/>
      </c>
      <c r="F16" s="21">
        <f>F15*Inputs!$E$107</f>
        <v/>
      </c>
      <c r="G16" s="21">
        <f>G15*Inputs!$F$107</f>
        <v/>
      </c>
    </row>
    <row r="17">
      <c r="A17" t="inlineStr">
        <is>
          <t xml:space="preserve">  less: ACV SBC</t>
        </is>
      </c>
      <c r="C17" s="21">
        <f>-Inputs!$B$120*(1+Inputs!$B$125)^1*C13</f>
        <v/>
      </c>
      <c r="D17" s="21">
        <f>-Inputs!$B$120*(1+Inputs!$B$125)^2*D13</f>
        <v/>
      </c>
      <c r="E17" s="21">
        <f>-Inputs!$B$120*(1+Inputs!$B$125)^3*E13</f>
        <v/>
      </c>
      <c r="F17" s="21">
        <f>-Inputs!$B$120*(1+Inputs!$B$125)^4*F13</f>
        <v/>
      </c>
      <c r="G17" s="21">
        <f>-Inputs!$B$120*(1+Inputs!$B$125)^5*G13</f>
        <v/>
      </c>
    </row>
    <row r="18">
      <c r="A18" t="inlineStr">
        <is>
          <t xml:space="preserve">  less: ACV existing D&amp;A</t>
        </is>
      </c>
      <c r="C18" s="21">
        <f>-Inputs!$B$121*(1+Inputs!$B$125)^1*C13</f>
        <v/>
      </c>
      <c r="D18" s="21">
        <f>-Inputs!$B$121*(1+Inputs!$B$125)^2*D13</f>
        <v/>
      </c>
      <c r="E18" s="21">
        <f>-Inputs!$B$121*(1+Inputs!$B$125)^3*E13</f>
        <v/>
      </c>
      <c r="F18" s="21">
        <f>-Inputs!$B$121*(1+Inputs!$B$125)^4*F13</f>
        <v/>
      </c>
      <c r="G18" s="21">
        <f>-Inputs!$B$121*(1+Inputs!$B$125)^5*G13</f>
        <v/>
      </c>
    </row>
    <row r="19">
      <c r="A19" t="inlineStr">
        <is>
          <t xml:space="preserve">  less: acquired-intangible amortization</t>
        </is>
      </c>
      <c r="C19" s="21">
        <f>-Inputs!$B$124*C13</f>
        <v/>
      </c>
      <c r="D19" s="21">
        <f>-Inputs!$B$124*D13</f>
        <v/>
      </c>
      <c r="E19" s="21">
        <f>-Inputs!$B$124*E13</f>
        <v/>
      </c>
      <c r="F19" s="21">
        <f>-Inputs!$B$124*F13</f>
        <v/>
      </c>
      <c r="G19" s="21">
        <f>-Inputs!$B$124*G13</f>
        <v/>
      </c>
    </row>
    <row r="20">
      <c r="A20" t="inlineStr">
        <is>
          <t xml:space="preserve">  plus: synergies (pre-tax)</t>
        </is>
      </c>
      <c r="C20" s="21">
        <f>Inputs!$B$95</f>
        <v/>
      </c>
      <c r="D20" s="21">
        <f>Inputs!$C$95</f>
        <v/>
      </c>
      <c r="E20" s="21">
        <f>Inputs!$D$95</f>
        <v/>
      </c>
      <c r="F20" s="21">
        <f>Inputs!$E$95</f>
        <v/>
      </c>
      <c r="G20" s="21">
        <f>Inputs!$F$95</f>
        <v/>
      </c>
    </row>
    <row r="21">
      <c r="A21" s="3" t="inlineStr">
        <is>
          <t>ACV EBIT contribution (GAAP)</t>
        </is>
      </c>
      <c r="B21" s="13" t="n">
        <v>0</v>
      </c>
      <c r="C21" s="21">
        <f>SUM(C16:C20)</f>
        <v/>
      </c>
      <c r="D21" s="21">
        <f>SUM(D16:D20)</f>
        <v/>
      </c>
      <c r="E21" s="21">
        <f>SUM(E16:E20)</f>
        <v/>
      </c>
      <c r="F21" s="21">
        <f>SUM(F16:F20)</f>
        <v/>
      </c>
      <c r="G21" s="21">
        <f>SUM(G16:G20)</f>
        <v/>
      </c>
    </row>
    <row r="22">
      <c r="A22" t="inlineStr">
        <is>
          <t>ACV D&amp;A (total)</t>
        </is>
      </c>
      <c r="B22" s="13" t="n">
        <v>0</v>
      </c>
      <c r="C22" s="21">
        <f>-C18-C19</f>
        <v/>
      </c>
      <c r="D22" s="21">
        <f>-D18-D19</f>
        <v/>
      </c>
      <c r="E22" s="21">
        <f>-E18-E19</f>
        <v/>
      </c>
      <c r="F22" s="21">
        <f>-F18-F19</f>
        <v/>
      </c>
      <c r="G22" s="21">
        <f>-G18-G19</f>
        <v/>
      </c>
    </row>
    <row r="23">
      <c r="A23" t="inlineStr">
        <is>
          <t>ACV capex</t>
        </is>
      </c>
      <c r="B23" s="13" t="n">
        <v>0</v>
      </c>
      <c r="C23" s="21">
        <f>C15*0.02</f>
        <v/>
      </c>
      <c r="D23" s="21">
        <f>D15*0.02</f>
        <v/>
      </c>
      <c r="E23" s="21">
        <f>E15*0.02</f>
        <v/>
      </c>
      <c r="F23" s="21">
        <f>F15*0.02</f>
        <v/>
      </c>
      <c r="G23" s="21">
        <f>G15*0.02</f>
        <v/>
      </c>
    </row>
    <row r="24">
      <c r="A24" s="9" t="inlineStr">
        <is>
          <t>Consolidated P&amp;L</t>
        </is>
      </c>
      <c r="B24" s="10" t="n"/>
      <c r="C24" s="10" t="n"/>
      <c r="D24" s="10" t="n"/>
      <c r="E24" s="10" t="n"/>
      <c r="F24" s="10" t="n"/>
      <c r="G24" s="10" t="n"/>
    </row>
    <row r="25">
      <c r="A25" s="3" t="inlineStr">
        <is>
          <t>Total revenue</t>
        </is>
      </c>
      <c r="B25" s="22">
        <f>B6</f>
        <v/>
      </c>
      <c r="C25" s="21">
        <f>C6+C15</f>
        <v/>
      </c>
      <c r="D25" s="21">
        <f>D6+D15</f>
        <v/>
      </c>
      <c r="E25" s="21">
        <f>E6+E15</f>
        <v/>
      </c>
      <c r="F25" s="21">
        <f>F6+F15</f>
        <v/>
      </c>
      <c r="G25" s="21">
        <f>G6+G15</f>
        <v/>
      </c>
    </row>
    <row r="26">
      <c r="A26" t="inlineStr">
        <is>
          <t xml:space="preserve">  growth</t>
        </is>
      </c>
      <c r="C26" s="5">
        <f>C25/B25-1</f>
        <v/>
      </c>
      <c r="D26" s="5">
        <f>D25/C25-1</f>
        <v/>
      </c>
      <c r="E26" s="5">
        <f>E25/D25-1</f>
        <v/>
      </c>
      <c r="F26" s="5">
        <f>F25/E25-1</f>
        <v/>
      </c>
      <c r="G26" s="5">
        <f>G25/F25-1</f>
        <v/>
      </c>
    </row>
    <row r="27">
      <c r="A27" s="3" t="inlineStr">
        <is>
          <t>EBIT</t>
        </is>
      </c>
      <c r="B27" s="22">
        <f>B9</f>
        <v/>
      </c>
      <c r="C27" s="21">
        <f>C9+C21</f>
        <v/>
      </c>
      <c r="D27" s="21">
        <f>D9+D21</f>
        <v/>
      </c>
      <c r="E27" s="21">
        <f>E9+E21</f>
        <v/>
      </c>
      <c r="F27" s="21">
        <f>F9+F21</f>
        <v/>
      </c>
      <c r="G27" s="21">
        <f>G9+G21</f>
        <v/>
      </c>
    </row>
    <row r="28">
      <c r="A28" t="inlineStr">
        <is>
          <t xml:space="preserve">  EBIT margin</t>
        </is>
      </c>
      <c r="B28" s="23">
        <f>B27/B25</f>
        <v/>
      </c>
      <c r="C28" s="5">
        <f>C27/C25</f>
        <v/>
      </c>
      <c r="D28" s="5">
        <f>D27/D25</f>
        <v/>
      </c>
      <c r="E28" s="5">
        <f>E27/E25</f>
        <v/>
      </c>
      <c r="F28" s="5">
        <f>F27/F25</f>
        <v/>
      </c>
      <c r="G28" s="5">
        <f>G27/G25</f>
        <v/>
      </c>
    </row>
    <row r="29">
      <c r="A29" t="inlineStr">
        <is>
          <t>D&amp;A</t>
        </is>
      </c>
      <c r="B29" s="22">
        <f>B10</f>
        <v/>
      </c>
      <c r="C29" s="21">
        <f>C10+C22</f>
        <v/>
      </c>
      <c r="D29" s="21">
        <f>D10+D22</f>
        <v/>
      </c>
      <c r="E29" s="21">
        <f>E10+E22</f>
        <v/>
      </c>
      <c r="F29" s="21">
        <f>F10+F22</f>
        <v/>
      </c>
      <c r="G29" s="21">
        <f>G10+G22</f>
        <v/>
      </c>
    </row>
    <row r="30">
      <c r="A30" s="3" t="inlineStr">
        <is>
          <t>EBITDA</t>
        </is>
      </c>
      <c r="B30" s="22">
        <f>B27+B29</f>
        <v/>
      </c>
      <c r="C30" s="21">
        <f>C27+C29</f>
        <v/>
      </c>
      <c r="D30" s="21">
        <f>D27+D29</f>
        <v/>
      </c>
      <c r="E30" s="21">
        <f>E27+E29</f>
        <v/>
      </c>
      <c r="F30" s="21">
        <f>F27+F29</f>
        <v/>
      </c>
      <c r="G30" s="21">
        <f>G27+G29</f>
        <v/>
      </c>
    </row>
    <row r="31">
      <c r="A31" t="inlineStr">
        <is>
          <t>Interest income on cash</t>
        </is>
      </c>
      <c r="B31" s="13" t="n">
        <v>181.9</v>
      </c>
      <c r="C31" s="21">
        <f>(B44+C42+C43)*Inputs!$B$71</f>
        <v/>
      </c>
      <c r="D31" s="21">
        <f>(C44+D42+D43)*Inputs!$C$71</f>
        <v/>
      </c>
      <c r="E31" s="21">
        <f>(D44+E42+E43)*Inputs!$D$71</f>
        <v/>
      </c>
      <c r="F31" s="21">
        <f>(E44+F42+F43)*Inputs!$E$71</f>
        <v/>
      </c>
      <c r="G31" s="21">
        <f>(F44+G42+G43)*Inputs!$F$71</f>
        <v/>
      </c>
      <c r="I31" s="11" t="inlineStr">
        <is>
          <t>On beginning cash less buybacks &amp; ACV outlay (avoids circularity)</t>
        </is>
      </c>
    </row>
    <row r="32">
      <c r="A32" s="3" t="inlineStr">
        <is>
          <t>Pre-tax income</t>
        </is>
      </c>
      <c r="B32" s="13" t="n">
        <v>1835</v>
      </c>
      <c r="C32" s="21">
        <f>C27+C31</f>
        <v/>
      </c>
      <c r="D32" s="21">
        <f>D27+D31</f>
        <v/>
      </c>
      <c r="E32" s="21">
        <f>E27+E31</f>
        <v/>
      </c>
      <c r="F32" s="21">
        <f>F27+F31</f>
        <v/>
      </c>
      <c r="G32" s="21">
        <f>G27+G31</f>
        <v/>
      </c>
    </row>
    <row r="33">
      <c r="A33" t="inlineStr">
        <is>
          <t>Tax</t>
        </is>
      </c>
      <c r="B33" s="13" t="n">
        <v>-354.6</v>
      </c>
      <c r="C33" s="21">
        <f>-C32*Inputs!$B$65</f>
        <v/>
      </c>
      <c r="D33" s="21">
        <f>-D32*Inputs!$C$65</f>
        <v/>
      </c>
      <c r="E33" s="21">
        <f>-E32*Inputs!$D$65</f>
        <v/>
      </c>
      <c r="F33" s="21">
        <f>-F32*Inputs!$E$65</f>
        <v/>
      </c>
      <c r="G33" s="21">
        <f>-G32*Inputs!$F$65</f>
        <v/>
      </c>
    </row>
    <row r="34">
      <c r="A34" s="3" t="inlineStr">
        <is>
          <t>Net income</t>
        </is>
      </c>
      <c r="B34" s="13" t="n">
        <v>1484.3</v>
      </c>
      <c r="C34" s="21">
        <f>C32+C33</f>
        <v/>
      </c>
      <c r="D34" s="21">
        <f>D32+D33</f>
        <v/>
      </c>
      <c r="E34" s="21">
        <f>E32+E33</f>
        <v/>
      </c>
      <c r="F34" s="21">
        <f>F32+F33</f>
        <v/>
      </c>
      <c r="G34" s="21">
        <f>G32+G33</f>
        <v/>
      </c>
    </row>
    <row r="35">
      <c r="A35" t="inlineStr">
        <is>
          <t>Diluted shares (M, avg)</t>
        </is>
      </c>
      <c r="B35" s="13" t="n">
        <v>956.86</v>
      </c>
      <c r="C35" s="21">
        <f>AVERAGE(B46,C46)</f>
        <v/>
      </c>
      <c r="D35" s="21">
        <f>AVERAGE(C46,D46)</f>
        <v/>
      </c>
      <c r="E35" s="21">
        <f>AVERAGE(D46,E46)</f>
        <v/>
      </c>
      <c r="F35" s="21">
        <f>AVERAGE(E46,F46)</f>
        <v/>
      </c>
      <c r="G35" s="21">
        <f>AVERAGE(F46,G46)</f>
        <v/>
      </c>
    </row>
    <row r="36">
      <c r="A36" s="3" t="inlineStr">
        <is>
          <t>Diluted EPS ($)</t>
        </is>
      </c>
      <c r="B36" s="12" t="n">
        <v>1.55</v>
      </c>
      <c r="C36" s="4">
        <f>C34/C35</f>
        <v/>
      </c>
      <c r="D36" s="4">
        <f>D34/D35</f>
        <v/>
      </c>
      <c r="E36" s="4">
        <f>E34/E35</f>
        <v/>
      </c>
      <c r="F36" s="4">
        <f>F34/F35</f>
        <v/>
      </c>
      <c r="G36" s="4">
        <f>G34/G35</f>
        <v/>
      </c>
    </row>
    <row r="37">
      <c r="A37" t="inlineStr">
        <is>
          <t xml:space="preserve">  EPS growth</t>
        </is>
      </c>
      <c r="C37" s="5">
        <f>C36/B36-1</f>
        <v/>
      </c>
      <c r="D37" s="5">
        <f>D36/C36-1</f>
        <v/>
      </c>
      <c r="E37" s="5">
        <f>E36/D36-1</f>
        <v/>
      </c>
      <c r="F37" s="5">
        <f>F36/E36-1</f>
        <v/>
      </c>
      <c r="G37" s="5">
        <f>G36/F36-1</f>
        <v/>
      </c>
    </row>
    <row r="38">
      <c r="A38" t="inlineStr">
        <is>
          <t>Cash EPS (ex acquired-intangible amort., $)</t>
        </is>
      </c>
      <c r="B38" s="12" t="n">
        <v>1.55</v>
      </c>
      <c r="C38" s="4">
        <f>(C34-C19*(1-Inputs!$B$65))/C35</f>
        <v/>
      </c>
      <c r="D38" s="4">
        <f>(D34-D19*(1-Inputs!$C$65))/D35</f>
        <v/>
      </c>
      <c r="E38" s="4">
        <f>(E34-E19*(1-Inputs!$D$65))/E35</f>
        <v/>
      </c>
      <c r="F38" s="4">
        <f>(F34-F19*(1-Inputs!$E$65))/F35</f>
        <v/>
      </c>
      <c r="G38" s="4">
        <f>(G34-G19*(1-Inputs!$F$65))/G35</f>
        <v/>
      </c>
    </row>
    <row r="39">
      <c r="A39" s="9" t="inlineStr">
        <is>
          <t>Cash flow &amp; share count</t>
        </is>
      </c>
      <c r="B39" s="10" t="n"/>
      <c r="C39" s="10" t="n"/>
      <c r="D39" s="10" t="n"/>
      <c r="E39" s="10" t="n"/>
      <c r="F39" s="10" t="n"/>
      <c r="G39" s="10" t="n"/>
    </row>
    <row r="40">
      <c r="A40" s="3" t="inlineStr">
        <is>
          <t>Unlevered FCF (EBIT*(1-t) + D&amp;A - capex - dNWC)</t>
        </is>
      </c>
      <c r="C40" s="21">
        <f>C27*(1-Inputs!$B$65)+C29-C11-C23-(C25-B25)*Inputs!$B$59</f>
        <v/>
      </c>
      <c r="D40" s="21">
        <f>D27*(1-Inputs!$C$65)+D29-D11-D23-(D25-C25)*Inputs!$C$59</f>
        <v/>
      </c>
      <c r="E40" s="21">
        <f>E27*(1-Inputs!$D$65)+E29-E11-E23-(E25-D25)*Inputs!$D$59</f>
        <v/>
      </c>
      <c r="F40" s="21">
        <f>F27*(1-Inputs!$E$65)+F29-F11-F23-(F25-E25)*Inputs!$E$59</f>
        <v/>
      </c>
      <c r="G40" s="21">
        <f>G27*(1-Inputs!$F$65)+G29-G11-G23-(G25-F25)*Inputs!$F$59</f>
        <v/>
      </c>
    </row>
    <row r="41">
      <c r="A41" t="inlineStr">
        <is>
          <t>Levered FCF (NI + D&amp;A - capex - dNWC)</t>
        </is>
      </c>
      <c r="B41" s="13" t="n">
        <v>1376.3</v>
      </c>
      <c r="C41" s="21">
        <f>C34+C29-C11-C23-(C25-B25)*Inputs!$B$59</f>
        <v/>
      </c>
      <c r="D41" s="21">
        <f>D34+D29-D11-D23-(D25-C25)*Inputs!$C$59</f>
        <v/>
      </c>
      <c r="E41" s="21">
        <f>E34+E29-E11-E23-(E25-D25)*Inputs!$D$59</f>
        <v/>
      </c>
      <c r="F41" s="21">
        <f>F34+F29-F11-F23-(F25-E25)*Inputs!$E$59</f>
        <v/>
      </c>
      <c r="G41" s="21">
        <f>G34+G29-G11-G23-(G25-F25)*Inputs!$F$59</f>
        <v/>
      </c>
    </row>
    <row r="42">
      <c r="A42" t="inlineStr">
        <is>
          <t>Share buybacks</t>
        </is>
      </c>
      <c r="B42" s="13" t="n">
        <v>-1636.3</v>
      </c>
      <c r="C42" s="21">
        <f>-Inputs!$B$77</f>
        <v/>
      </c>
      <c r="D42" s="21">
        <f>-Inputs!$C$77</f>
        <v/>
      </c>
      <c r="E42" s="21">
        <f>-Inputs!$D$77</f>
        <v/>
      </c>
      <c r="F42" s="21">
        <f>-Inputs!$E$77</f>
        <v/>
      </c>
      <c r="G42" s="21">
        <f>-Inputs!$F$77</f>
        <v/>
      </c>
    </row>
    <row r="43">
      <c r="A43" t="inlineStr">
        <is>
          <t>ACV acquisition</t>
        </is>
      </c>
      <c r="B43" s="13" t="n">
        <v>0</v>
      </c>
      <c r="C43" s="21">
        <f>-Inputs!$B$116</f>
        <v/>
      </c>
      <c r="D43" s="21">
        <f>0</f>
        <v/>
      </c>
      <c r="E43" s="21">
        <f>0</f>
        <v/>
      </c>
      <c r="F43" s="21">
        <f>0</f>
        <v/>
      </c>
      <c r="G43" s="21">
        <f>0</f>
        <v/>
      </c>
    </row>
    <row r="44">
      <c r="A44" s="3" t="inlineStr">
        <is>
          <t>Ending cash &amp; investments</t>
        </is>
      </c>
      <c r="B44" s="13" t="n">
        <v>4489.8</v>
      </c>
      <c r="C44" s="21">
        <f>B44+C41+C42+C43</f>
        <v/>
      </c>
      <c r="D44" s="21">
        <f>C44+D41+D42+D43</f>
        <v/>
      </c>
      <c r="E44" s="21">
        <f>D44+E41+E42+E43</f>
        <v/>
      </c>
      <c r="F44" s="21">
        <f>E44+F41+F42+F43</f>
        <v/>
      </c>
      <c r="G44" s="21">
        <f>F44+G41+G42+G43</f>
        <v/>
      </c>
    </row>
    <row r="45">
      <c r="A45" t="inlineStr">
        <is>
          <t>Shares repurchased (M)</t>
        </is>
      </c>
      <c r="C45" s="21">
        <f>Inputs!$B$77/Inputs!$B$83</f>
        <v/>
      </c>
      <c r="D45" s="21">
        <f>Inputs!$C$77/Inputs!$C$83</f>
        <v/>
      </c>
      <c r="E45" s="21">
        <f>Inputs!$D$77/Inputs!$D$83</f>
        <v/>
      </c>
      <c r="F45" s="21">
        <f>Inputs!$E$77/Inputs!$E$83</f>
        <v/>
      </c>
      <c r="G45" s="21">
        <f>Inputs!$F$77/Inputs!$F$83</f>
        <v/>
      </c>
    </row>
    <row r="46">
      <c r="A46" t="inlineStr">
        <is>
          <t>Ending diluted shares (M)</t>
        </is>
      </c>
      <c r="B46" s="13" t="n">
        <v>927</v>
      </c>
      <c r="C46" s="21">
        <f>B46*(1+Inputs!$B$89)-C45</f>
        <v/>
      </c>
      <c r="D46" s="21">
        <f>C46*(1+Inputs!$C$89)-D45</f>
        <v/>
      </c>
      <c r="E46" s="21">
        <f>D46*(1+Inputs!$D$89)-E45</f>
        <v/>
      </c>
      <c r="F46" s="21">
        <f>E46*(1+Inputs!$E$89)-F45</f>
        <v/>
      </c>
      <c r="G46" s="21">
        <f>F46*(1+Inputs!$F$89)-G45</f>
        <v/>
      </c>
      <c r="I46" s="11" t="inlineStr">
        <is>
          <t>FY26 end-point: 925.8M basic + ~1M dilution</t>
        </is>
      </c>
    </row>
    <row r="48">
      <c r="A48" s="1" t="inlineStr">
        <is>
          <t>BASE CASE - full model</t>
        </is>
      </c>
      <c r="B48" s="2" t="n"/>
      <c r="C48" s="2" t="n"/>
      <c r="D48" s="2" t="n"/>
      <c r="E48" s="2" t="n"/>
      <c r="F48" s="2" t="n"/>
      <c r="G48" s="2" t="n"/>
    </row>
    <row r="49">
      <c r="B49" s="3" t="inlineStr">
        <is>
          <t>FY26A</t>
        </is>
      </c>
      <c r="C49" s="3" t="inlineStr">
        <is>
          <t>FY27E</t>
        </is>
      </c>
      <c r="D49" s="3" t="inlineStr">
        <is>
          <t>FY28E</t>
        </is>
      </c>
      <c r="E49" s="3" t="inlineStr">
        <is>
          <t>FY29E</t>
        </is>
      </c>
      <c r="F49" s="3" t="inlineStr">
        <is>
          <t>FY30E</t>
        </is>
      </c>
      <c r="G49" s="3" t="inlineStr">
        <is>
          <t>FY31E</t>
        </is>
      </c>
    </row>
    <row r="50">
      <c r="A50" s="9" t="inlineStr">
        <is>
          <t>Core Copart (ex-ACV)</t>
        </is>
      </c>
      <c r="B50" s="10" t="n"/>
      <c r="C50" s="10" t="n"/>
      <c r="D50" s="10" t="n"/>
      <c r="E50" s="10" t="n"/>
      <c r="F50" s="10" t="n"/>
      <c r="G50" s="10" t="n"/>
    </row>
    <row r="51">
      <c r="A51" t="inlineStr">
        <is>
          <t>US revenue</t>
        </is>
      </c>
      <c r="B51" s="13" t="n">
        <v>3807.4</v>
      </c>
      <c r="C51" s="21">
        <f>B51*(1+Inputs!$B$24)*(1+Inputs!$B$36)</f>
        <v/>
      </c>
      <c r="D51" s="21">
        <f>C51*(1+Inputs!$C$24)*(1+Inputs!$C$36)</f>
        <v/>
      </c>
      <c r="E51" s="21">
        <f>D51*(1+Inputs!$D$24)*(1+Inputs!$D$36)</f>
        <v/>
      </c>
      <c r="F51" s="21">
        <f>E51*(1+Inputs!$E$24)*(1+Inputs!$E$36)</f>
        <v/>
      </c>
      <c r="G51" s="21">
        <f>F51*(1+Inputs!$F$24)*(1+Inputs!$F$36)</f>
        <v/>
      </c>
    </row>
    <row r="52">
      <c r="A52" t="inlineStr">
        <is>
          <t>International revenue</t>
        </is>
      </c>
      <c r="B52" s="13" t="n">
        <v>858.8</v>
      </c>
      <c r="C52" s="21">
        <f>B52*(1+Inputs!$B$30)*(1+Inputs!$B$36)</f>
        <v/>
      </c>
      <c r="D52" s="21">
        <f>C52*(1+Inputs!$C$30)*(1+Inputs!$C$36)</f>
        <v/>
      </c>
      <c r="E52" s="21">
        <f>D52*(1+Inputs!$D$30)*(1+Inputs!$D$36)</f>
        <v/>
      </c>
      <c r="F52" s="21">
        <f>E52*(1+Inputs!$E$30)*(1+Inputs!$E$36)</f>
        <v/>
      </c>
      <c r="G52" s="21">
        <f>F52*(1+Inputs!$F$30)*(1+Inputs!$F$36)</f>
        <v/>
      </c>
    </row>
    <row r="53">
      <c r="A53" s="3" t="inlineStr">
        <is>
          <t>Core revenue</t>
        </is>
      </c>
      <c r="B53" s="22">
        <f>B51+B52</f>
        <v/>
      </c>
      <c r="C53" s="21">
        <f>C51+C52</f>
        <v/>
      </c>
      <c r="D53" s="21">
        <f>D51+D52</f>
        <v/>
      </c>
      <c r="E53" s="21">
        <f>E51+E52</f>
        <v/>
      </c>
      <c r="F53" s="21">
        <f>F51+F52</f>
        <v/>
      </c>
      <c r="G53" s="21">
        <f>G51+G52</f>
        <v/>
      </c>
    </row>
    <row r="54">
      <c r="A54" t="inlineStr">
        <is>
          <t xml:space="preserve">  growth</t>
        </is>
      </c>
      <c r="C54" s="5">
        <f>C53/B53-1</f>
        <v/>
      </c>
      <c r="D54" s="5">
        <f>D53/C53-1</f>
        <v/>
      </c>
      <c r="E54" s="5">
        <f>E53/D53-1</f>
        <v/>
      </c>
      <c r="F54" s="5">
        <f>F53/E53-1</f>
        <v/>
      </c>
      <c r="G54" s="5">
        <f>G53/F53-1</f>
        <v/>
      </c>
    </row>
    <row r="55">
      <c r="A55" t="inlineStr">
        <is>
          <t>Core EBIT margin</t>
        </is>
      </c>
      <c r="B55" s="23">
        <f>B56/B53</f>
        <v/>
      </c>
      <c r="C55" s="5">
        <f>Inputs!$B$42</f>
        <v/>
      </c>
      <c r="D55" s="5">
        <f>Inputs!$C$42</f>
        <v/>
      </c>
      <c r="E55" s="5">
        <f>Inputs!$D$42</f>
        <v/>
      </c>
      <c r="F55" s="5">
        <f>Inputs!$E$42</f>
        <v/>
      </c>
      <c r="G55" s="5">
        <f>Inputs!$F$42</f>
        <v/>
      </c>
    </row>
    <row r="56">
      <c r="A56" s="3" t="inlineStr">
        <is>
          <t>Core EBIT</t>
        </is>
      </c>
      <c r="B56" s="13" t="n">
        <v>1652.6</v>
      </c>
      <c r="C56" s="21">
        <f>C53*C55</f>
        <v/>
      </c>
      <c r="D56" s="21">
        <f>D53*D55</f>
        <v/>
      </c>
      <c r="E56" s="21">
        <f>E53*E55</f>
        <v/>
      </c>
      <c r="F56" s="21">
        <f>F53*F55</f>
        <v/>
      </c>
      <c r="G56" s="21">
        <f>G53*G55</f>
        <v/>
      </c>
    </row>
    <row r="57">
      <c r="A57" t="inlineStr">
        <is>
          <t>Core D&amp;A</t>
        </is>
      </c>
      <c r="B57" s="13" t="n">
        <v>229.4</v>
      </c>
      <c r="C57" s="21">
        <f>C53*Inputs!$B$48</f>
        <v/>
      </c>
      <c r="D57" s="21">
        <f>D53*Inputs!$C$48</f>
        <v/>
      </c>
      <c r="E57" s="21">
        <f>E53*Inputs!$D$48</f>
        <v/>
      </c>
      <c r="F57" s="21">
        <f>F53*Inputs!$E$48</f>
        <v/>
      </c>
      <c r="G57" s="21">
        <f>G53*Inputs!$F$48</f>
        <v/>
      </c>
    </row>
    <row r="58">
      <c r="A58" t="inlineStr">
        <is>
          <t>Core capex</t>
        </is>
      </c>
      <c r="B58" s="13" t="n">
        <v>337.4</v>
      </c>
      <c r="C58" s="21">
        <f>C53*Inputs!$B$54</f>
        <v/>
      </c>
      <c r="D58" s="21">
        <f>D53*Inputs!$C$54</f>
        <v/>
      </c>
      <c r="E58" s="21">
        <f>E53*Inputs!$D$54</f>
        <v/>
      </c>
      <c r="F58" s="21">
        <f>F53*Inputs!$E$54</f>
        <v/>
      </c>
      <c r="G58" s="21">
        <f>G53*Inputs!$F$54</f>
        <v/>
      </c>
    </row>
    <row r="59">
      <c r="A59" s="9" t="inlineStr">
        <is>
          <t>ACV Auctions (consolidated from close; CY figures used as FY proxy)</t>
        </is>
      </c>
      <c r="B59" s="10" t="n"/>
      <c r="C59" s="10" t="n"/>
      <c r="D59" s="10" t="n"/>
      <c r="E59" s="10" t="n"/>
      <c r="F59" s="10" t="n"/>
      <c r="G59" s="10" t="n"/>
    </row>
    <row r="60">
      <c r="A60" t="inlineStr">
        <is>
          <t>Consolidation factor (share of year)</t>
        </is>
      </c>
      <c r="B60" s="20" t="n">
        <v>0</v>
      </c>
      <c r="C60" s="24">
        <f>Inputs!$B$118/12</f>
        <v/>
      </c>
      <c r="D60" s="24">
        <f>1</f>
        <v/>
      </c>
      <c r="E60" s="24">
        <f>1</f>
        <v/>
      </c>
      <c r="F60" s="24">
        <f>1</f>
        <v/>
      </c>
      <c r="G60" s="24">
        <f>1</f>
        <v/>
      </c>
    </row>
    <row r="61">
      <c r="A61" t="inlineStr">
        <is>
          <t>ACV revenue (annualized run-rate)</t>
        </is>
      </c>
      <c r="C61" s="21">
        <f>Inputs!$B$119*(1+Inputs!$B$102)</f>
        <v/>
      </c>
      <c r="D61" s="21">
        <f>C61*(1+Inputs!$C$102)</f>
        <v/>
      </c>
      <c r="E61" s="21">
        <f>D61*(1+Inputs!$D$102)</f>
        <v/>
      </c>
      <c r="F61" s="21">
        <f>E61*(1+Inputs!$E$102)</f>
        <v/>
      </c>
      <c r="G61" s="21">
        <f>F61*(1+Inputs!$F$102)</f>
        <v/>
      </c>
    </row>
    <row r="62">
      <c r="A62" t="inlineStr">
        <is>
          <t>ACV revenue consolidated</t>
        </is>
      </c>
      <c r="B62" s="13" t="n">
        <v>0</v>
      </c>
      <c r="C62" s="21">
        <f>C61*C60</f>
        <v/>
      </c>
      <c r="D62" s="21">
        <f>D61*D60</f>
        <v/>
      </c>
      <c r="E62" s="21">
        <f>E61*E60</f>
        <v/>
      </c>
      <c r="F62" s="21">
        <f>F61*F60</f>
        <v/>
      </c>
      <c r="G62" s="21">
        <f>G61*G60</f>
        <v/>
      </c>
    </row>
    <row r="63">
      <c r="A63" t="inlineStr">
        <is>
          <t>ACV adj. EBITDA (standalone)</t>
        </is>
      </c>
      <c r="C63" s="21">
        <f>C62*Inputs!$B$108</f>
        <v/>
      </c>
      <c r="D63" s="21">
        <f>D62*Inputs!$C$108</f>
        <v/>
      </c>
      <c r="E63" s="21">
        <f>E62*Inputs!$D$108</f>
        <v/>
      </c>
      <c r="F63" s="21">
        <f>F62*Inputs!$E$108</f>
        <v/>
      </c>
      <c r="G63" s="21">
        <f>G62*Inputs!$F$108</f>
        <v/>
      </c>
    </row>
    <row r="64">
      <c r="A64" t="inlineStr">
        <is>
          <t xml:space="preserve">  less: ACV SBC</t>
        </is>
      </c>
      <c r="C64" s="21">
        <f>-Inputs!$B$120*(1+Inputs!$B$125)^1*C60</f>
        <v/>
      </c>
      <c r="D64" s="21">
        <f>-Inputs!$B$120*(1+Inputs!$B$125)^2*D60</f>
        <v/>
      </c>
      <c r="E64" s="21">
        <f>-Inputs!$B$120*(1+Inputs!$B$125)^3*E60</f>
        <v/>
      </c>
      <c r="F64" s="21">
        <f>-Inputs!$B$120*(1+Inputs!$B$125)^4*F60</f>
        <v/>
      </c>
      <c r="G64" s="21">
        <f>-Inputs!$B$120*(1+Inputs!$B$125)^5*G60</f>
        <v/>
      </c>
    </row>
    <row r="65">
      <c r="A65" t="inlineStr">
        <is>
          <t xml:space="preserve">  less: ACV existing D&amp;A</t>
        </is>
      </c>
      <c r="C65" s="21">
        <f>-Inputs!$B$121*(1+Inputs!$B$125)^1*C60</f>
        <v/>
      </c>
      <c r="D65" s="21">
        <f>-Inputs!$B$121*(1+Inputs!$B$125)^2*D60</f>
        <v/>
      </c>
      <c r="E65" s="21">
        <f>-Inputs!$B$121*(1+Inputs!$B$125)^3*E60</f>
        <v/>
      </c>
      <c r="F65" s="21">
        <f>-Inputs!$B$121*(1+Inputs!$B$125)^4*F60</f>
        <v/>
      </c>
      <c r="G65" s="21">
        <f>-Inputs!$B$121*(1+Inputs!$B$125)^5*G60</f>
        <v/>
      </c>
    </row>
    <row r="66">
      <c r="A66" t="inlineStr">
        <is>
          <t xml:space="preserve">  less: acquired-intangible amortization</t>
        </is>
      </c>
      <c r="C66" s="21">
        <f>-Inputs!$B$124*C60</f>
        <v/>
      </c>
      <c r="D66" s="21">
        <f>-Inputs!$B$124*D60</f>
        <v/>
      </c>
      <c r="E66" s="21">
        <f>-Inputs!$B$124*E60</f>
        <v/>
      </c>
      <c r="F66" s="21">
        <f>-Inputs!$B$124*F60</f>
        <v/>
      </c>
      <c r="G66" s="21">
        <f>-Inputs!$B$124*G60</f>
        <v/>
      </c>
    </row>
    <row r="67">
      <c r="A67" t="inlineStr">
        <is>
          <t xml:space="preserve">  plus: synergies (pre-tax)</t>
        </is>
      </c>
      <c r="C67" s="21">
        <f>Inputs!$B$96</f>
        <v/>
      </c>
      <c r="D67" s="21">
        <f>Inputs!$C$96</f>
        <v/>
      </c>
      <c r="E67" s="21">
        <f>Inputs!$D$96</f>
        <v/>
      </c>
      <c r="F67" s="21">
        <f>Inputs!$E$96</f>
        <v/>
      </c>
      <c r="G67" s="21">
        <f>Inputs!$F$96</f>
        <v/>
      </c>
    </row>
    <row r="68">
      <c r="A68" s="3" t="inlineStr">
        <is>
          <t>ACV EBIT contribution (GAAP)</t>
        </is>
      </c>
      <c r="B68" s="13" t="n">
        <v>0</v>
      </c>
      <c r="C68" s="21">
        <f>SUM(C63:C67)</f>
        <v/>
      </c>
      <c r="D68" s="21">
        <f>SUM(D63:D67)</f>
        <v/>
      </c>
      <c r="E68" s="21">
        <f>SUM(E63:E67)</f>
        <v/>
      </c>
      <c r="F68" s="21">
        <f>SUM(F63:F67)</f>
        <v/>
      </c>
      <c r="G68" s="21">
        <f>SUM(G63:G67)</f>
        <v/>
      </c>
    </row>
    <row r="69">
      <c r="A69" t="inlineStr">
        <is>
          <t>ACV D&amp;A (total)</t>
        </is>
      </c>
      <c r="B69" s="13" t="n">
        <v>0</v>
      </c>
      <c r="C69" s="21">
        <f>-C65-C66</f>
        <v/>
      </c>
      <c r="D69" s="21">
        <f>-D65-D66</f>
        <v/>
      </c>
      <c r="E69" s="21">
        <f>-E65-E66</f>
        <v/>
      </c>
      <c r="F69" s="21">
        <f>-F65-F66</f>
        <v/>
      </c>
      <c r="G69" s="21">
        <f>-G65-G66</f>
        <v/>
      </c>
    </row>
    <row r="70">
      <c r="A70" t="inlineStr">
        <is>
          <t>ACV capex</t>
        </is>
      </c>
      <c r="B70" s="13" t="n">
        <v>0</v>
      </c>
      <c r="C70" s="21">
        <f>C62*0.02</f>
        <v/>
      </c>
      <c r="D70" s="21">
        <f>D62*0.02</f>
        <v/>
      </c>
      <c r="E70" s="21">
        <f>E62*0.02</f>
        <v/>
      </c>
      <c r="F70" s="21">
        <f>F62*0.02</f>
        <v/>
      </c>
      <c r="G70" s="21">
        <f>G62*0.02</f>
        <v/>
      </c>
    </row>
    <row r="71">
      <c r="A71" s="9" t="inlineStr">
        <is>
          <t>Consolidated P&amp;L</t>
        </is>
      </c>
      <c r="B71" s="10" t="n"/>
      <c r="C71" s="10" t="n"/>
      <c r="D71" s="10" t="n"/>
      <c r="E71" s="10" t="n"/>
      <c r="F71" s="10" t="n"/>
      <c r="G71" s="10" t="n"/>
    </row>
    <row r="72">
      <c r="A72" s="3" t="inlineStr">
        <is>
          <t>Total revenue</t>
        </is>
      </c>
      <c r="B72" s="22">
        <f>B53</f>
        <v/>
      </c>
      <c r="C72" s="21">
        <f>C53+C62</f>
        <v/>
      </c>
      <c r="D72" s="21">
        <f>D53+D62</f>
        <v/>
      </c>
      <c r="E72" s="21">
        <f>E53+E62</f>
        <v/>
      </c>
      <c r="F72" s="21">
        <f>F53+F62</f>
        <v/>
      </c>
      <c r="G72" s="21">
        <f>G53+G62</f>
        <v/>
      </c>
    </row>
    <row r="73">
      <c r="A73" t="inlineStr">
        <is>
          <t xml:space="preserve">  growth</t>
        </is>
      </c>
      <c r="C73" s="5">
        <f>C72/B72-1</f>
        <v/>
      </c>
      <c r="D73" s="5">
        <f>D72/C72-1</f>
        <v/>
      </c>
      <c r="E73" s="5">
        <f>E72/D72-1</f>
        <v/>
      </c>
      <c r="F73" s="5">
        <f>F72/E72-1</f>
        <v/>
      </c>
      <c r="G73" s="5">
        <f>G72/F72-1</f>
        <v/>
      </c>
    </row>
    <row r="74">
      <c r="A74" s="3" t="inlineStr">
        <is>
          <t>EBIT</t>
        </is>
      </c>
      <c r="B74" s="22">
        <f>B56</f>
        <v/>
      </c>
      <c r="C74" s="21">
        <f>C56+C68</f>
        <v/>
      </c>
      <c r="D74" s="21">
        <f>D56+D68</f>
        <v/>
      </c>
      <c r="E74" s="21">
        <f>E56+E68</f>
        <v/>
      </c>
      <c r="F74" s="21">
        <f>F56+F68</f>
        <v/>
      </c>
      <c r="G74" s="21">
        <f>G56+G68</f>
        <v/>
      </c>
    </row>
    <row r="75">
      <c r="A75" t="inlineStr">
        <is>
          <t xml:space="preserve">  EBIT margin</t>
        </is>
      </c>
      <c r="B75" s="23">
        <f>B74/B72</f>
        <v/>
      </c>
      <c r="C75" s="5">
        <f>C74/C72</f>
        <v/>
      </c>
      <c r="D75" s="5">
        <f>D74/D72</f>
        <v/>
      </c>
      <c r="E75" s="5">
        <f>E74/E72</f>
        <v/>
      </c>
      <c r="F75" s="5">
        <f>F74/F72</f>
        <v/>
      </c>
      <c r="G75" s="5">
        <f>G74/G72</f>
        <v/>
      </c>
    </row>
    <row r="76">
      <c r="A76" t="inlineStr">
        <is>
          <t>D&amp;A</t>
        </is>
      </c>
      <c r="B76" s="22">
        <f>B57</f>
        <v/>
      </c>
      <c r="C76" s="21">
        <f>C57+C69</f>
        <v/>
      </c>
      <c r="D76" s="21">
        <f>D57+D69</f>
        <v/>
      </c>
      <c r="E76" s="21">
        <f>E57+E69</f>
        <v/>
      </c>
      <c r="F76" s="21">
        <f>F57+F69</f>
        <v/>
      </c>
      <c r="G76" s="21">
        <f>G57+G69</f>
        <v/>
      </c>
    </row>
    <row r="77">
      <c r="A77" s="3" t="inlineStr">
        <is>
          <t>EBITDA</t>
        </is>
      </c>
      <c r="B77" s="22">
        <f>B74+B76</f>
        <v/>
      </c>
      <c r="C77" s="21">
        <f>C74+C76</f>
        <v/>
      </c>
      <c r="D77" s="21">
        <f>D74+D76</f>
        <v/>
      </c>
      <c r="E77" s="21">
        <f>E74+E76</f>
        <v/>
      </c>
      <c r="F77" s="21">
        <f>F74+F76</f>
        <v/>
      </c>
      <c r="G77" s="21">
        <f>G74+G76</f>
        <v/>
      </c>
    </row>
    <row r="78">
      <c r="A78" t="inlineStr">
        <is>
          <t>Interest income on cash</t>
        </is>
      </c>
      <c r="B78" s="13" t="n">
        <v>181.9</v>
      </c>
      <c r="C78" s="21">
        <f>(B91+C89+C90)*Inputs!$B$72</f>
        <v/>
      </c>
      <c r="D78" s="21">
        <f>(C91+D89+D90)*Inputs!$C$72</f>
        <v/>
      </c>
      <c r="E78" s="21">
        <f>(D91+E89+E90)*Inputs!$D$72</f>
        <v/>
      </c>
      <c r="F78" s="21">
        <f>(E91+F89+F90)*Inputs!$E$72</f>
        <v/>
      </c>
      <c r="G78" s="21">
        <f>(F91+G89+G90)*Inputs!$F$72</f>
        <v/>
      </c>
      <c r="I78" s="11" t="inlineStr">
        <is>
          <t>On beginning cash less buybacks &amp; ACV outlay (avoids circularity)</t>
        </is>
      </c>
    </row>
    <row r="79">
      <c r="A79" s="3" t="inlineStr">
        <is>
          <t>Pre-tax income</t>
        </is>
      </c>
      <c r="B79" s="13" t="n">
        <v>1835</v>
      </c>
      <c r="C79" s="21">
        <f>C74+C78</f>
        <v/>
      </c>
      <c r="D79" s="21">
        <f>D74+D78</f>
        <v/>
      </c>
      <c r="E79" s="21">
        <f>E74+E78</f>
        <v/>
      </c>
      <c r="F79" s="21">
        <f>F74+F78</f>
        <v/>
      </c>
      <c r="G79" s="21">
        <f>G74+G78</f>
        <v/>
      </c>
    </row>
    <row r="80">
      <c r="A80" t="inlineStr">
        <is>
          <t>Tax</t>
        </is>
      </c>
      <c r="B80" s="13" t="n">
        <v>-354.6</v>
      </c>
      <c r="C80" s="21">
        <f>-C79*Inputs!$B$66</f>
        <v/>
      </c>
      <c r="D80" s="21">
        <f>-D79*Inputs!$C$66</f>
        <v/>
      </c>
      <c r="E80" s="21">
        <f>-E79*Inputs!$D$66</f>
        <v/>
      </c>
      <c r="F80" s="21">
        <f>-F79*Inputs!$E$66</f>
        <v/>
      </c>
      <c r="G80" s="21">
        <f>-G79*Inputs!$F$66</f>
        <v/>
      </c>
    </row>
    <row r="81">
      <c r="A81" s="3" t="inlineStr">
        <is>
          <t>Net income</t>
        </is>
      </c>
      <c r="B81" s="13" t="n">
        <v>1484.3</v>
      </c>
      <c r="C81" s="21">
        <f>C79+C80</f>
        <v/>
      </c>
      <c r="D81" s="21">
        <f>D79+D80</f>
        <v/>
      </c>
      <c r="E81" s="21">
        <f>E79+E80</f>
        <v/>
      </c>
      <c r="F81" s="21">
        <f>F79+F80</f>
        <v/>
      </c>
      <c r="G81" s="21">
        <f>G79+G80</f>
        <v/>
      </c>
    </row>
    <row r="82">
      <c r="A82" t="inlineStr">
        <is>
          <t>Diluted shares (M, avg)</t>
        </is>
      </c>
      <c r="B82" s="13" t="n">
        <v>956.86</v>
      </c>
      <c r="C82" s="21">
        <f>AVERAGE(B93,C93)</f>
        <v/>
      </c>
      <c r="D82" s="21">
        <f>AVERAGE(C93,D93)</f>
        <v/>
      </c>
      <c r="E82" s="21">
        <f>AVERAGE(D93,E93)</f>
        <v/>
      </c>
      <c r="F82" s="21">
        <f>AVERAGE(E93,F93)</f>
        <v/>
      </c>
      <c r="G82" s="21">
        <f>AVERAGE(F93,G93)</f>
        <v/>
      </c>
    </row>
    <row r="83">
      <c r="A83" s="3" t="inlineStr">
        <is>
          <t>Diluted EPS ($)</t>
        </is>
      </c>
      <c r="B83" s="12" t="n">
        <v>1.55</v>
      </c>
      <c r="C83" s="4">
        <f>C81/C82</f>
        <v/>
      </c>
      <c r="D83" s="4">
        <f>D81/D82</f>
        <v/>
      </c>
      <c r="E83" s="4">
        <f>E81/E82</f>
        <v/>
      </c>
      <c r="F83" s="4">
        <f>F81/F82</f>
        <v/>
      </c>
      <c r="G83" s="4">
        <f>G81/G82</f>
        <v/>
      </c>
    </row>
    <row r="84">
      <c r="A84" t="inlineStr">
        <is>
          <t xml:space="preserve">  EPS growth</t>
        </is>
      </c>
      <c r="C84" s="5">
        <f>C83/B83-1</f>
        <v/>
      </c>
      <c r="D84" s="5">
        <f>D83/C83-1</f>
        <v/>
      </c>
      <c r="E84" s="5">
        <f>E83/D83-1</f>
        <v/>
      </c>
      <c r="F84" s="5">
        <f>F83/E83-1</f>
        <v/>
      </c>
      <c r="G84" s="5">
        <f>G83/F83-1</f>
        <v/>
      </c>
    </row>
    <row r="85">
      <c r="A85" t="inlineStr">
        <is>
          <t>Cash EPS (ex acquired-intangible amort., $)</t>
        </is>
      </c>
      <c r="B85" s="12" t="n">
        <v>1.55</v>
      </c>
      <c r="C85" s="4">
        <f>(C81-C66*(1-Inputs!$B$66))/C82</f>
        <v/>
      </c>
      <c r="D85" s="4">
        <f>(D81-D66*(1-Inputs!$C$66))/D82</f>
        <v/>
      </c>
      <c r="E85" s="4">
        <f>(E81-E66*(1-Inputs!$D$66))/E82</f>
        <v/>
      </c>
      <c r="F85" s="4">
        <f>(F81-F66*(1-Inputs!$E$66))/F82</f>
        <v/>
      </c>
      <c r="G85" s="4">
        <f>(G81-G66*(1-Inputs!$F$66))/G82</f>
        <v/>
      </c>
    </row>
    <row r="86">
      <c r="A86" s="9" t="inlineStr">
        <is>
          <t>Cash flow &amp; share count</t>
        </is>
      </c>
      <c r="B86" s="10" t="n"/>
      <c r="C86" s="10" t="n"/>
      <c r="D86" s="10" t="n"/>
      <c r="E86" s="10" t="n"/>
      <c r="F86" s="10" t="n"/>
      <c r="G86" s="10" t="n"/>
    </row>
    <row r="87">
      <c r="A87" s="3" t="inlineStr">
        <is>
          <t>Unlevered FCF (EBIT*(1-t) + D&amp;A - capex - dNWC)</t>
        </is>
      </c>
      <c r="C87" s="21">
        <f>C74*(1-Inputs!$B$66)+C76-C58-C70-(C72-B72)*Inputs!$B$60</f>
        <v/>
      </c>
      <c r="D87" s="21">
        <f>D74*(1-Inputs!$C$66)+D76-D58-D70-(D72-C72)*Inputs!$C$60</f>
        <v/>
      </c>
      <c r="E87" s="21">
        <f>E74*(1-Inputs!$D$66)+E76-E58-E70-(E72-D72)*Inputs!$D$60</f>
        <v/>
      </c>
      <c r="F87" s="21">
        <f>F74*(1-Inputs!$E$66)+F76-F58-F70-(F72-E72)*Inputs!$E$60</f>
        <v/>
      </c>
      <c r="G87" s="21">
        <f>G74*(1-Inputs!$F$66)+G76-G58-G70-(G72-F72)*Inputs!$F$60</f>
        <v/>
      </c>
    </row>
    <row r="88">
      <c r="A88" t="inlineStr">
        <is>
          <t>Levered FCF (NI + D&amp;A - capex - dNWC)</t>
        </is>
      </c>
      <c r="B88" s="13" t="n">
        <v>1376.3</v>
      </c>
      <c r="C88" s="21">
        <f>C81+C76-C58-C70-(C72-B72)*Inputs!$B$60</f>
        <v/>
      </c>
      <c r="D88" s="21">
        <f>D81+D76-D58-D70-(D72-C72)*Inputs!$C$60</f>
        <v/>
      </c>
      <c r="E88" s="21">
        <f>E81+E76-E58-E70-(E72-D72)*Inputs!$D$60</f>
        <v/>
      </c>
      <c r="F88" s="21">
        <f>F81+F76-F58-F70-(F72-E72)*Inputs!$E$60</f>
        <v/>
      </c>
      <c r="G88" s="21">
        <f>G81+G76-G58-G70-(G72-F72)*Inputs!$F$60</f>
        <v/>
      </c>
    </row>
    <row r="89">
      <c r="A89" t="inlineStr">
        <is>
          <t>Share buybacks</t>
        </is>
      </c>
      <c r="B89" s="13" t="n">
        <v>-1636.3</v>
      </c>
      <c r="C89" s="21">
        <f>-Inputs!$B$78</f>
        <v/>
      </c>
      <c r="D89" s="21">
        <f>-Inputs!$C$78</f>
        <v/>
      </c>
      <c r="E89" s="21">
        <f>-Inputs!$D$78</f>
        <v/>
      </c>
      <c r="F89" s="21">
        <f>-Inputs!$E$78</f>
        <v/>
      </c>
      <c r="G89" s="21">
        <f>-Inputs!$F$78</f>
        <v/>
      </c>
    </row>
    <row r="90">
      <c r="A90" t="inlineStr">
        <is>
          <t>ACV acquisition</t>
        </is>
      </c>
      <c r="B90" s="13" t="n">
        <v>0</v>
      </c>
      <c r="C90" s="21">
        <f>-Inputs!$B$116</f>
        <v/>
      </c>
      <c r="D90" s="21">
        <f>0</f>
        <v/>
      </c>
      <c r="E90" s="21">
        <f>0</f>
        <v/>
      </c>
      <c r="F90" s="21">
        <f>0</f>
        <v/>
      </c>
      <c r="G90" s="21">
        <f>0</f>
        <v/>
      </c>
    </row>
    <row r="91">
      <c r="A91" s="3" t="inlineStr">
        <is>
          <t>Ending cash &amp; investments</t>
        </is>
      </c>
      <c r="B91" s="13" t="n">
        <v>4489.8</v>
      </c>
      <c r="C91" s="21">
        <f>B91+C88+C89+C90</f>
        <v/>
      </c>
      <c r="D91" s="21">
        <f>C91+D88+D89+D90</f>
        <v/>
      </c>
      <c r="E91" s="21">
        <f>D91+E88+E89+E90</f>
        <v/>
      </c>
      <c r="F91" s="21">
        <f>E91+F88+F89+F90</f>
        <v/>
      </c>
      <c r="G91" s="21">
        <f>F91+G88+G89+G90</f>
        <v/>
      </c>
    </row>
    <row r="92">
      <c r="A92" t="inlineStr">
        <is>
          <t>Shares repurchased (M)</t>
        </is>
      </c>
      <c r="C92" s="21">
        <f>Inputs!$B$78/Inputs!$B$84</f>
        <v/>
      </c>
      <c r="D92" s="21">
        <f>Inputs!$C$78/Inputs!$C$84</f>
        <v/>
      </c>
      <c r="E92" s="21">
        <f>Inputs!$D$78/Inputs!$D$84</f>
        <v/>
      </c>
      <c r="F92" s="21">
        <f>Inputs!$E$78/Inputs!$E$84</f>
        <v/>
      </c>
      <c r="G92" s="21">
        <f>Inputs!$F$78/Inputs!$F$84</f>
        <v/>
      </c>
    </row>
    <row r="93">
      <c r="A93" t="inlineStr">
        <is>
          <t>Ending diluted shares (M)</t>
        </is>
      </c>
      <c r="B93" s="13" t="n">
        <v>927</v>
      </c>
      <c r="C93" s="21">
        <f>B93*(1+Inputs!$B$90)-C92</f>
        <v/>
      </c>
      <c r="D93" s="21">
        <f>C93*(1+Inputs!$C$90)-D92</f>
        <v/>
      </c>
      <c r="E93" s="21">
        <f>D93*(1+Inputs!$D$90)-E92</f>
        <v/>
      </c>
      <c r="F93" s="21">
        <f>E93*(1+Inputs!$E$90)-F92</f>
        <v/>
      </c>
      <c r="G93" s="21">
        <f>F93*(1+Inputs!$F$90)-G92</f>
        <v/>
      </c>
      <c r="I93" s="11" t="inlineStr">
        <is>
          <t>FY26 end-point: 925.8M basic + ~1M dilution</t>
        </is>
      </c>
    </row>
    <row r="95">
      <c r="A95" s="1" t="inlineStr">
        <is>
          <t>BULL CASE - full model</t>
        </is>
      </c>
      <c r="B95" s="2" t="n"/>
      <c r="C95" s="2" t="n"/>
      <c r="D95" s="2" t="n"/>
      <c r="E95" s="2" t="n"/>
      <c r="F95" s="2" t="n"/>
      <c r="G95" s="2" t="n"/>
    </row>
    <row r="96">
      <c r="B96" s="3" t="inlineStr">
        <is>
          <t>FY26A</t>
        </is>
      </c>
      <c r="C96" s="3" t="inlineStr">
        <is>
          <t>FY27E</t>
        </is>
      </c>
      <c r="D96" s="3" t="inlineStr">
        <is>
          <t>FY28E</t>
        </is>
      </c>
      <c r="E96" s="3" t="inlineStr">
        <is>
          <t>FY29E</t>
        </is>
      </c>
      <c r="F96" s="3" t="inlineStr">
        <is>
          <t>FY30E</t>
        </is>
      </c>
      <c r="G96" s="3" t="inlineStr">
        <is>
          <t>FY31E</t>
        </is>
      </c>
    </row>
    <row r="97">
      <c r="A97" s="9" t="inlineStr">
        <is>
          <t>Core Copart (ex-ACV)</t>
        </is>
      </c>
      <c r="B97" s="10" t="n"/>
      <c r="C97" s="10" t="n"/>
      <c r="D97" s="10" t="n"/>
      <c r="E97" s="10" t="n"/>
      <c r="F97" s="10" t="n"/>
      <c r="G97" s="10" t="n"/>
    </row>
    <row r="98">
      <c r="A98" t="inlineStr">
        <is>
          <t>US revenue</t>
        </is>
      </c>
      <c r="B98" s="13" t="n">
        <v>3807.4</v>
      </c>
      <c r="C98" s="21">
        <f>B98*(1+Inputs!$B$25)*(1+Inputs!$B$37)</f>
        <v/>
      </c>
      <c r="D98" s="21">
        <f>C98*(1+Inputs!$C$25)*(1+Inputs!$C$37)</f>
        <v/>
      </c>
      <c r="E98" s="21">
        <f>D98*(1+Inputs!$D$25)*(1+Inputs!$D$37)</f>
        <v/>
      </c>
      <c r="F98" s="21">
        <f>E98*(1+Inputs!$E$25)*(1+Inputs!$E$37)</f>
        <v/>
      </c>
      <c r="G98" s="21">
        <f>F98*(1+Inputs!$F$25)*(1+Inputs!$F$37)</f>
        <v/>
      </c>
    </row>
    <row r="99">
      <c r="A99" t="inlineStr">
        <is>
          <t>International revenue</t>
        </is>
      </c>
      <c r="B99" s="13" t="n">
        <v>858.8</v>
      </c>
      <c r="C99" s="21">
        <f>B99*(1+Inputs!$B$31)*(1+Inputs!$B$37)</f>
        <v/>
      </c>
      <c r="D99" s="21">
        <f>C99*(1+Inputs!$C$31)*(1+Inputs!$C$37)</f>
        <v/>
      </c>
      <c r="E99" s="21">
        <f>D99*(1+Inputs!$D$31)*(1+Inputs!$D$37)</f>
        <v/>
      </c>
      <c r="F99" s="21">
        <f>E99*(1+Inputs!$E$31)*(1+Inputs!$E$37)</f>
        <v/>
      </c>
      <c r="G99" s="21">
        <f>F99*(1+Inputs!$F$31)*(1+Inputs!$F$37)</f>
        <v/>
      </c>
    </row>
    <row r="100">
      <c r="A100" s="3" t="inlineStr">
        <is>
          <t>Core revenue</t>
        </is>
      </c>
      <c r="B100" s="22">
        <f>B98+B99</f>
        <v/>
      </c>
      <c r="C100" s="21">
        <f>C98+C99</f>
        <v/>
      </c>
      <c r="D100" s="21">
        <f>D98+D99</f>
        <v/>
      </c>
      <c r="E100" s="21">
        <f>E98+E99</f>
        <v/>
      </c>
      <c r="F100" s="21">
        <f>F98+F99</f>
        <v/>
      </c>
      <c r="G100" s="21">
        <f>G98+G99</f>
        <v/>
      </c>
    </row>
    <row r="101">
      <c r="A101" t="inlineStr">
        <is>
          <t xml:space="preserve">  growth</t>
        </is>
      </c>
      <c r="C101" s="5">
        <f>C100/B100-1</f>
        <v/>
      </c>
      <c r="D101" s="5">
        <f>D100/C100-1</f>
        <v/>
      </c>
      <c r="E101" s="5">
        <f>E100/D100-1</f>
        <v/>
      </c>
      <c r="F101" s="5">
        <f>F100/E100-1</f>
        <v/>
      </c>
      <c r="G101" s="5">
        <f>G100/F100-1</f>
        <v/>
      </c>
    </row>
    <row r="102">
      <c r="A102" t="inlineStr">
        <is>
          <t>Core EBIT margin</t>
        </is>
      </c>
      <c r="B102" s="23">
        <f>B103/B100</f>
        <v/>
      </c>
      <c r="C102" s="5">
        <f>Inputs!$B$43</f>
        <v/>
      </c>
      <c r="D102" s="5">
        <f>Inputs!$C$43</f>
        <v/>
      </c>
      <c r="E102" s="5">
        <f>Inputs!$D$43</f>
        <v/>
      </c>
      <c r="F102" s="5">
        <f>Inputs!$E$43</f>
        <v/>
      </c>
      <c r="G102" s="5">
        <f>Inputs!$F$43</f>
        <v/>
      </c>
    </row>
    <row r="103">
      <c r="A103" s="3" t="inlineStr">
        <is>
          <t>Core EBIT</t>
        </is>
      </c>
      <c r="B103" s="13" t="n">
        <v>1652.6</v>
      </c>
      <c r="C103" s="21">
        <f>C100*C102</f>
        <v/>
      </c>
      <c r="D103" s="21">
        <f>D100*D102</f>
        <v/>
      </c>
      <c r="E103" s="21">
        <f>E100*E102</f>
        <v/>
      </c>
      <c r="F103" s="21">
        <f>F100*F102</f>
        <v/>
      </c>
      <c r="G103" s="21">
        <f>G100*G102</f>
        <v/>
      </c>
    </row>
    <row r="104">
      <c r="A104" t="inlineStr">
        <is>
          <t>Core D&amp;A</t>
        </is>
      </c>
      <c r="B104" s="13" t="n">
        <v>229.4</v>
      </c>
      <c r="C104" s="21">
        <f>C100*Inputs!$B$49</f>
        <v/>
      </c>
      <c r="D104" s="21">
        <f>D100*Inputs!$C$49</f>
        <v/>
      </c>
      <c r="E104" s="21">
        <f>E100*Inputs!$D$49</f>
        <v/>
      </c>
      <c r="F104" s="21">
        <f>F100*Inputs!$E$49</f>
        <v/>
      </c>
      <c r="G104" s="21">
        <f>G100*Inputs!$F$49</f>
        <v/>
      </c>
    </row>
    <row r="105">
      <c r="A105" t="inlineStr">
        <is>
          <t>Core capex</t>
        </is>
      </c>
      <c r="B105" s="13" t="n">
        <v>337.4</v>
      </c>
      <c r="C105" s="21">
        <f>C100*Inputs!$B$55</f>
        <v/>
      </c>
      <c r="D105" s="21">
        <f>D100*Inputs!$C$55</f>
        <v/>
      </c>
      <c r="E105" s="21">
        <f>E100*Inputs!$D$55</f>
        <v/>
      </c>
      <c r="F105" s="21">
        <f>F100*Inputs!$E$55</f>
        <v/>
      </c>
      <c r="G105" s="21">
        <f>G100*Inputs!$F$55</f>
        <v/>
      </c>
    </row>
    <row r="106">
      <c r="A106" s="9" t="inlineStr">
        <is>
          <t>ACV Auctions (consolidated from close; CY figures used as FY proxy)</t>
        </is>
      </c>
      <c r="B106" s="10" t="n"/>
      <c r="C106" s="10" t="n"/>
      <c r="D106" s="10" t="n"/>
      <c r="E106" s="10" t="n"/>
      <c r="F106" s="10" t="n"/>
      <c r="G106" s="10" t="n"/>
    </row>
    <row r="107">
      <c r="A107" t="inlineStr">
        <is>
          <t>Consolidation factor (share of year)</t>
        </is>
      </c>
      <c r="B107" s="20" t="n">
        <v>0</v>
      </c>
      <c r="C107" s="24">
        <f>Inputs!$B$118/12</f>
        <v/>
      </c>
      <c r="D107" s="24">
        <f>1</f>
        <v/>
      </c>
      <c r="E107" s="24">
        <f>1</f>
        <v/>
      </c>
      <c r="F107" s="24">
        <f>1</f>
        <v/>
      </c>
      <c r="G107" s="24">
        <f>1</f>
        <v/>
      </c>
    </row>
    <row r="108">
      <c r="A108" t="inlineStr">
        <is>
          <t>ACV revenue (annualized run-rate)</t>
        </is>
      </c>
      <c r="C108" s="21">
        <f>Inputs!$B$119*(1+Inputs!$B$103)</f>
        <v/>
      </c>
      <c r="D108" s="21">
        <f>C108*(1+Inputs!$C$103)</f>
        <v/>
      </c>
      <c r="E108" s="21">
        <f>D108*(1+Inputs!$D$103)</f>
        <v/>
      </c>
      <c r="F108" s="21">
        <f>E108*(1+Inputs!$E$103)</f>
        <v/>
      </c>
      <c r="G108" s="21">
        <f>F108*(1+Inputs!$F$103)</f>
        <v/>
      </c>
    </row>
    <row r="109">
      <c r="A109" t="inlineStr">
        <is>
          <t>ACV revenue consolidated</t>
        </is>
      </c>
      <c r="B109" s="13" t="n">
        <v>0</v>
      </c>
      <c r="C109" s="21">
        <f>C108*C107</f>
        <v/>
      </c>
      <c r="D109" s="21">
        <f>D108*D107</f>
        <v/>
      </c>
      <c r="E109" s="21">
        <f>E108*E107</f>
        <v/>
      </c>
      <c r="F109" s="21">
        <f>F108*F107</f>
        <v/>
      </c>
      <c r="G109" s="21">
        <f>G108*G107</f>
        <v/>
      </c>
    </row>
    <row r="110">
      <c r="A110" t="inlineStr">
        <is>
          <t>ACV adj. EBITDA (standalone)</t>
        </is>
      </c>
      <c r="C110" s="21">
        <f>C109*Inputs!$B$109</f>
        <v/>
      </c>
      <c r="D110" s="21">
        <f>D109*Inputs!$C$109</f>
        <v/>
      </c>
      <c r="E110" s="21">
        <f>E109*Inputs!$D$109</f>
        <v/>
      </c>
      <c r="F110" s="21">
        <f>F109*Inputs!$E$109</f>
        <v/>
      </c>
      <c r="G110" s="21">
        <f>G109*Inputs!$F$109</f>
        <v/>
      </c>
    </row>
    <row r="111">
      <c r="A111" t="inlineStr">
        <is>
          <t xml:space="preserve">  less: ACV SBC</t>
        </is>
      </c>
      <c r="C111" s="21">
        <f>-Inputs!$B$120*(1+Inputs!$B$125)^1*C107</f>
        <v/>
      </c>
      <c r="D111" s="21">
        <f>-Inputs!$B$120*(1+Inputs!$B$125)^2*D107</f>
        <v/>
      </c>
      <c r="E111" s="21">
        <f>-Inputs!$B$120*(1+Inputs!$B$125)^3*E107</f>
        <v/>
      </c>
      <c r="F111" s="21">
        <f>-Inputs!$B$120*(1+Inputs!$B$125)^4*F107</f>
        <v/>
      </c>
      <c r="G111" s="21">
        <f>-Inputs!$B$120*(1+Inputs!$B$125)^5*G107</f>
        <v/>
      </c>
    </row>
    <row r="112">
      <c r="A112" t="inlineStr">
        <is>
          <t xml:space="preserve">  less: ACV existing D&amp;A</t>
        </is>
      </c>
      <c r="C112" s="21">
        <f>-Inputs!$B$121*(1+Inputs!$B$125)^1*C107</f>
        <v/>
      </c>
      <c r="D112" s="21">
        <f>-Inputs!$B$121*(1+Inputs!$B$125)^2*D107</f>
        <v/>
      </c>
      <c r="E112" s="21">
        <f>-Inputs!$B$121*(1+Inputs!$B$125)^3*E107</f>
        <v/>
      </c>
      <c r="F112" s="21">
        <f>-Inputs!$B$121*(1+Inputs!$B$125)^4*F107</f>
        <v/>
      </c>
      <c r="G112" s="21">
        <f>-Inputs!$B$121*(1+Inputs!$B$125)^5*G107</f>
        <v/>
      </c>
    </row>
    <row r="113">
      <c r="A113" t="inlineStr">
        <is>
          <t xml:space="preserve">  less: acquired-intangible amortization</t>
        </is>
      </c>
      <c r="C113" s="21">
        <f>-Inputs!$B$124*C107</f>
        <v/>
      </c>
      <c r="D113" s="21">
        <f>-Inputs!$B$124*D107</f>
        <v/>
      </c>
      <c r="E113" s="21">
        <f>-Inputs!$B$124*E107</f>
        <v/>
      </c>
      <c r="F113" s="21">
        <f>-Inputs!$B$124*F107</f>
        <v/>
      </c>
      <c r="G113" s="21">
        <f>-Inputs!$B$124*G107</f>
        <v/>
      </c>
    </row>
    <row r="114">
      <c r="A114" t="inlineStr">
        <is>
          <t xml:space="preserve">  plus: synergies (pre-tax)</t>
        </is>
      </c>
      <c r="C114" s="21">
        <f>Inputs!$B$97</f>
        <v/>
      </c>
      <c r="D114" s="21">
        <f>Inputs!$C$97</f>
        <v/>
      </c>
      <c r="E114" s="21">
        <f>Inputs!$D$97</f>
        <v/>
      </c>
      <c r="F114" s="21">
        <f>Inputs!$E$97</f>
        <v/>
      </c>
      <c r="G114" s="21">
        <f>Inputs!$F$97</f>
        <v/>
      </c>
    </row>
    <row r="115">
      <c r="A115" s="3" t="inlineStr">
        <is>
          <t>ACV EBIT contribution (GAAP)</t>
        </is>
      </c>
      <c r="B115" s="13" t="n">
        <v>0</v>
      </c>
      <c r="C115" s="21">
        <f>SUM(C110:C114)</f>
        <v/>
      </c>
      <c r="D115" s="21">
        <f>SUM(D110:D114)</f>
        <v/>
      </c>
      <c r="E115" s="21">
        <f>SUM(E110:E114)</f>
        <v/>
      </c>
      <c r="F115" s="21">
        <f>SUM(F110:F114)</f>
        <v/>
      </c>
      <c r="G115" s="21">
        <f>SUM(G110:G114)</f>
        <v/>
      </c>
    </row>
    <row r="116">
      <c r="A116" t="inlineStr">
        <is>
          <t>ACV D&amp;A (total)</t>
        </is>
      </c>
      <c r="B116" s="13" t="n">
        <v>0</v>
      </c>
      <c r="C116" s="21">
        <f>-C112-C113</f>
        <v/>
      </c>
      <c r="D116" s="21">
        <f>-D112-D113</f>
        <v/>
      </c>
      <c r="E116" s="21">
        <f>-E112-E113</f>
        <v/>
      </c>
      <c r="F116" s="21">
        <f>-F112-F113</f>
        <v/>
      </c>
      <c r="G116" s="21">
        <f>-G112-G113</f>
        <v/>
      </c>
    </row>
    <row r="117">
      <c r="A117" t="inlineStr">
        <is>
          <t>ACV capex</t>
        </is>
      </c>
      <c r="B117" s="13" t="n">
        <v>0</v>
      </c>
      <c r="C117" s="21">
        <f>C109*0.02</f>
        <v/>
      </c>
      <c r="D117" s="21">
        <f>D109*0.02</f>
        <v/>
      </c>
      <c r="E117" s="21">
        <f>E109*0.02</f>
        <v/>
      </c>
      <c r="F117" s="21">
        <f>F109*0.02</f>
        <v/>
      </c>
      <c r="G117" s="21">
        <f>G109*0.02</f>
        <v/>
      </c>
    </row>
    <row r="118">
      <c r="A118" s="9" t="inlineStr">
        <is>
          <t>Consolidated P&amp;L</t>
        </is>
      </c>
      <c r="B118" s="10" t="n"/>
      <c r="C118" s="10" t="n"/>
      <c r="D118" s="10" t="n"/>
      <c r="E118" s="10" t="n"/>
      <c r="F118" s="10" t="n"/>
      <c r="G118" s="10" t="n"/>
    </row>
    <row r="119">
      <c r="A119" s="3" t="inlineStr">
        <is>
          <t>Total revenue</t>
        </is>
      </c>
      <c r="B119" s="22">
        <f>B100</f>
        <v/>
      </c>
      <c r="C119" s="21">
        <f>C100+C109</f>
        <v/>
      </c>
      <c r="D119" s="21">
        <f>D100+D109</f>
        <v/>
      </c>
      <c r="E119" s="21">
        <f>E100+E109</f>
        <v/>
      </c>
      <c r="F119" s="21">
        <f>F100+F109</f>
        <v/>
      </c>
      <c r="G119" s="21">
        <f>G100+G109</f>
        <v/>
      </c>
    </row>
    <row r="120">
      <c r="A120" t="inlineStr">
        <is>
          <t xml:space="preserve">  growth</t>
        </is>
      </c>
      <c r="C120" s="5">
        <f>C119/B119-1</f>
        <v/>
      </c>
      <c r="D120" s="5">
        <f>D119/C119-1</f>
        <v/>
      </c>
      <c r="E120" s="5">
        <f>E119/D119-1</f>
        <v/>
      </c>
      <c r="F120" s="5">
        <f>F119/E119-1</f>
        <v/>
      </c>
      <c r="G120" s="5">
        <f>G119/F119-1</f>
        <v/>
      </c>
    </row>
    <row r="121">
      <c r="A121" s="3" t="inlineStr">
        <is>
          <t>EBIT</t>
        </is>
      </c>
      <c r="B121" s="22">
        <f>B103</f>
        <v/>
      </c>
      <c r="C121" s="21">
        <f>C103+C115</f>
        <v/>
      </c>
      <c r="D121" s="21">
        <f>D103+D115</f>
        <v/>
      </c>
      <c r="E121" s="21">
        <f>E103+E115</f>
        <v/>
      </c>
      <c r="F121" s="21">
        <f>F103+F115</f>
        <v/>
      </c>
      <c r="G121" s="21">
        <f>G103+G115</f>
        <v/>
      </c>
    </row>
    <row r="122">
      <c r="A122" t="inlineStr">
        <is>
          <t xml:space="preserve">  EBIT margin</t>
        </is>
      </c>
      <c r="B122" s="23">
        <f>B121/B119</f>
        <v/>
      </c>
      <c r="C122" s="5">
        <f>C121/C119</f>
        <v/>
      </c>
      <c r="D122" s="5">
        <f>D121/D119</f>
        <v/>
      </c>
      <c r="E122" s="5">
        <f>E121/E119</f>
        <v/>
      </c>
      <c r="F122" s="5">
        <f>F121/F119</f>
        <v/>
      </c>
      <c r="G122" s="5">
        <f>G121/G119</f>
        <v/>
      </c>
    </row>
    <row r="123">
      <c r="A123" t="inlineStr">
        <is>
          <t>D&amp;A</t>
        </is>
      </c>
      <c r="B123" s="22">
        <f>B104</f>
        <v/>
      </c>
      <c r="C123" s="21">
        <f>C104+C116</f>
        <v/>
      </c>
      <c r="D123" s="21">
        <f>D104+D116</f>
        <v/>
      </c>
      <c r="E123" s="21">
        <f>E104+E116</f>
        <v/>
      </c>
      <c r="F123" s="21">
        <f>F104+F116</f>
        <v/>
      </c>
      <c r="G123" s="21">
        <f>G104+G116</f>
        <v/>
      </c>
    </row>
    <row r="124">
      <c r="A124" s="3" t="inlineStr">
        <is>
          <t>EBITDA</t>
        </is>
      </c>
      <c r="B124" s="22">
        <f>B121+B123</f>
        <v/>
      </c>
      <c r="C124" s="21">
        <f>C121+C123</f>
        <v/>
      </c>
      <c r="D124" s="21">
        <f>D121+D123</f>
        <v/>
      </c>
      <c r="E124" s="21">
        <f>E121+E123</f>
        <v/>
      </c>
      <c r="F124" s="21">
        <f>F121+F123</f>
        <v/>
      </c>
      <c r="G124" s="21">
        <f>G121+G123</f>
        <v/>
      </c>
    </row>
    <row r="125">
      <c r="A125" t="inlineStr">
        <is>
          <t>Interest income on cash</t>
        </is>
      </c>
      <c r="B125" s="13" t="n">
        <v>181.9</v>
      </c>
      <c r="C125" s="21">
        <f>(B138+C136+C137)*Inputs!$B$73</f>
        <v/>
      </c>
      <c r="D125" s="21">
        <f>(C138+D136+D137)*Inputs!$C$73</f>
        <v/>
      </c>
      <c r="E125" s="21">
        <f>(D138+E136+E137)*Inputs!$D$73</f>
        <v/>
      </c>
      <c r="F125" s="21">
        <f>(E138+F136+F137)*Inputs!$E$73</f>
        <v/>
      </c>
      <c r="G125" s="21">
        <f>(F138+G136+G137)*Inputs!$F$73</f>
        <v/>
      </c>
      <c r="I125" s="11" t="inlineStr">
        <is>
          <t>On beginning cash less buybacks &amp; ACV outlay (avoids circularity)</t>
        </is>
      </c>
    </row>
    <row r="126">
      <c r="A126" s="3" t="inlineStr">
        <is>
          <t>Pre-tax income</t>
        </is>
      </c>
      <c r="B126" s="13" t="n">
        <v>1835</v>
      </c>
      <c r="C126" s="21">
        <f>C121+C125</f>
        <v/>
      </c>
      <c r="D126" s="21">
        <f>D121+D125</f>
        <v/>
      </c>
      <c r="E126" s="21">
        <f>E121+E125</f>
        <v/>
      </c>
      <c r="F126" s="21">
        <f>F121+F125</f>
        <v/>
      </c>
      <c r="G126" s="21">
        <f>G121+G125</f>
        <v/>
      </c>
    </row>
    <row r="127">
      <c r="A127" t="inlineStr">
        <is>
          <t>Tax</t>
        </is>
      </c>
      <c r="B127" s="13" t="n">
        <v>-354.6</v>
      </c>
      <c r="C127" s="21">
        <f>-C126*Inputs!$B$67</f>
        <v/>
      </c>
      <c r="D127" s="21">
        <f>-D126*Inputs!$C$67</f>
        <v/>
      </c>
      <c r="E127" s="21">
        <f>-E126*Inputs!$D$67</f>
        <v/>
      </c>
      <c r="F127" s="21">
        <f>-F126*Inputs!$E$67</f>
        <v/>
      </c>
      <c r="G127" s="21">
        <f>-G126*Inputs!$F$67</f>
        <v/>
      </c>
    </row>
    <row r="128">
      <c r="A128" s="3" t="inlineStr">
        <is>
          <t>Net income</t>
        </is>
      </c>
      <c r="B128" s="13" t="n">
        <v>1484.3</v>
      </c>
      <c r="C128" s="21">
        <f>C126+C127</f>
        <v/>
      </c>
      <c r="D128" s="21">
        <f>D126+D127</f>
        <v/>
      </c>
      <c r="E128" s="21">
        <f>E126+E127</f>
        <v/>
      </c>
      <c r="F128" s="21">
        <f>F126+F127</f>
        <v/>
      </c>
      <c r="G128" s="21">
        <f>G126+G127</f>
        <v/>
      </c>
    </row>
    <row r="129">
      <c r="A129" t="inlineStr">
        <is>
          <t>Diluted shares (M, avg)</t>
        </is>
      </c>
      <c r="B129" s="13" t="n">
        <v>956.86</v>
      </c>
      <c r="C129" s="21">
        <f>AVERAGE(B140,C140)</f>
        <v/>
      </c>
      <c r="D129" s="21">
        <f>AVERAGE(C140,D140)</f>
        <v/>
      </c>
      <c r="E129" s="21">
        <f>AVERAGE(D140,E140)</f>
        <v/>
      </c>
      <c r="F129" s="21">
        <f>AVERAGE(E140,F140)</f>
        <v/>
      </c>
      <c r="G129" s="21">
        <f>AVERAGE(F140,G140)</f>
        <v/>
      </c>
    </row>
    <row r="130">
      <c r="A130" s="3" t="inlineStr">
        <is>
          <t>Diluted EPS ($)</t>
        </is>
      </c>
      <c r="B130" s="12" t="n">
        <v>1.55</v>
      </c>
      <c r="C130" s="4">
        <f>C128/C129</f>
        <v/>
      </c>
      <c r="D130" s="4">
        <f>D128/D129</f>
        <v/>
      </c>
      <c r="E130" s="4">
        <f>E128/E129</f>
        <v/>
      </c>
      <c r="F130" s="4">
        <f>F128/F129</f>
        <v/>
      </c>
      <c r="G130" s="4">
        <f>G128/G129</f>
        <v/>
      </c>
    </row>
    <row r="131">
      <c r="A131" t="inlineStr">
        <is>
          <t xml:space="preserve">  EPS growth</t>
        </is>
      </c>
      <c r="C131" s="5">
        <f>C130/B130-1</f>
        <v/>
      </c>
      <c r="D131" s="5">
        <f>D130/C130-1</f>
        <v/>
      </c>
      <c r="E131" s="5">
        <f>E130/D130-1</f>
        <v/>
      </c>
      <c r="F131" s="5">
        <f>F130/E130-1</f>
        <v/>
      </c>
      <c r="G131" s="5">
        <f>G130/F130-1</f>
        <v/>
      </c>
    </row>
    <row r="132">
      <c r="A132" t="inlineStr">
        <is>
          <t>Cash EPS (ex acquired-intangible amort., $)</t>
        </is>
      </c>
      <c r="B132" s="12" t="n">
        <v>1.55</v>
      </c>
      <c r="C132" s="4">
        <f>(C128-C113*(1-Inputs!$B$67))/C129</f>
        <v/>
      </c>
      <c r="D132" s="4">
        <f>(D128-D113*(1-Inputs!$C$67))/D129</f>
        <v/>
      </c>
      <c r="E132" s="4">
        <f>(E128-E113*(1-Inputs!$D$67))/E129</f>
        <v/>
      </c>
      <c r="F132" s="4">
        <f>(F128-F113*(1-Inputs!$E$67))/F129</f>
        <v/>
      </c>
      <c r="G132" s="4">
        <f>(G128-G113*(1-Inputs!$F$67))/G129</f>
        <v/>
      </c>
    </row>
    <row r="133">
      <c r="A133" s="9" t="inlineStr">
        <is>
          <t>Cash flow &amp; share count</t>
        </is>
      </c>
      <c r="B133" s="10" t="n"/>
      <c r="C133" s="10" t="n"/>
      <c r="D133" s="10" t="n"/>
      <c r="E133" s="10" t="n"/>
      <c r="F133" s="10" t="n"/>
      <c r="G133" s="10" t="n"/>
    </row>
    <row r="134">
      <c r="A134" s="3" t="inlineStr">
        <is>
          <t>Unlevered FCF (EBIT*(1-t) + D&amp;A - capex - dNWC)</t>
        </is>
      </c>
      <c r="C134" s="21">
        <f>C121*(1-Inputs!$B$67)+C123-C105-C117-(C119-B119)*Inputs!$B$61</f>
        <v/>
      </c>
      <c r="D134" s="21">
        <f>D121*(1-Inputs!$C$67)+D123-D105-D117-(D119-C119)*Inputs!$C$61</f>
        <v/>
      </c>
      <c r="E134" s="21">
        <f>E121*(1-Inputs!$D$67)+E123-E105-E117-(E119-D119)*Inputs!$D$61</f>
        <v/>
      </c>
      <c r="F134" s="21">
        <f>F121*(1-Inputs!$E$67)+F123-F105-F117-(F119-E119)*Inputs!$E$61</f>
        <v/>
      </c>
      <c r="G134" s="21">
        <f>G121*(1-Inputs!$F$67)+G123-G105-G117-(G119-F119)*Inputs!$F$61</f>
        <v/>
      </c>
    </row>
    <row r="135">
      <c r="A135" t="inlineStr">
        <is>
          <t>Levered FCF (NI + D&amp;A - capex - dNWC)</t>
        </is>
      </c>
      <c r="B135" s="13" t="n">
        <v>1376.3</v>
      </c>
      <c r="C135" s="21">
        <f>C128+C123-C105-C117-(C119-B119)*Inputs!$B$61</f>
        <v/>
      </c>
      <c r="D135" s="21">
        <f>D128+D123-D105-D117-(D119-C119)*Inputs!$C$61</f>
        <v/>
      </c>
      <c r="E135" s="21">
        <f>E128+E123-E105-E117-(E119-D119)*Inputs!$D$61</f>
        <v/>
      </c>
      <c r="F135" s="21">
        <f>F128+F123-F105-F117-(F119-E119)*Inputs!$E$61</f>
        <v/>
      </c>
      <c r="G135" s="21">
        <f>G128+G123-G105-G117-(G119-F119)*Inputs!$F$61</f>
        <v/>
      </c>
    </row>
    <row r="136">
      <c r="A136" t="inlineStr">
        <is>
          <t>Share buybacks</t>
        </is>
      </c>
      <c r="B136" s="13" t="n">
        <v>-1636.3</v>
      </c>
      <c r="C136" s="21">
        <f>-Inputs!$B$79</f>
        <v/>
      </c>
      <c r="D136" s="21">
        <f>-Inputs!$C$79</f>
        <v/>
      </c>
      <c r="E136" s="21">
        <f>-Inputs!$D$79</f>
        <v/>
      </c>
      <c r="F136" s="21">
        <f>-Inputs!$E$79</f>
        <v/>
      </c>
      <c r="G136" s="21">
        <f>-Inputs!$F$79</f>
        <v/>
      </c>
    </row>
    <row r="137">
      <c r="A137" t="inlineStr">
        <is>
          <t>ACV acquisition</t>
        </is>
      </c>
      <c r="B137" s="13" t="n">
        <v>0</v>
      </c>
      <c r="C137" s="21">
        <f>-Inputs!$B$116</f>
        <v/>
      </c>
      <c r="D137" s="21">
        <f>0</f>
        <v/>
      </c>
      <c r="E137" s="21">
        <f>0</f>
        <v/>
      </c>
      <c r="F137" s="21">
        <f>0</f>
        <v/>
      </c>
      <c r="G137" s="21">
        <f>0</f>
        <v/>
      </c>
    </row>
    <row r="138">
      <c r="A138" s="3" t="inlineStr">
        <is>
          <t>Ending cash &amp; investments</t>
        </is>
      </c>
      <c r="B138" s="13" t="n">
        <v>4489.8</v>
      </c>
      <c r="C138" s="21">
        <f>B138+C135+C136+C137</f>
        <v/>
      </c>
      <c r="D138" s="21">
        <f>C138+D135+D136+D137</f>
        <v/>
      </c>
      <c r="E138" s="21">
        <f>D138+E135+E136+E137</f>
        <v/>
      </c>
      <c r="F138" s="21">
        <f>E138+F135+F136+F137</f>
        <v/>
      </c>
      <c r="G138" s="21">
        <f>F138+G135+G136+G137</f>
        <v/>
      </c>
    </row>
    <row r="139">
      <c r="A139" t="inlineStr">
        <is>
          <t>Shares repurchased (M)</t>
        </is>
      </c>
      <c r="C139" s="21">
        <f>Inputs!$B$79/Inputs!$B$85</f>
        <v/>
      </c>
      <c r="D139" s="21">
        <f>Inputs!$C$79/Inputs!$C$85</f>
        <v/>
      </c>
      <c r="E139" s="21">
        <f>Inputs!$D$79/Inputs!$D$85</f>
        <v/>
      </c>
      <c r="F139" s="21">
        <f>Inputs!$E$79/Inputs!$E$85</f>
        <v/>
      </c>
      <c r="G139" s="21">
        <f>Inputs!$F$79/Inputs!$F$85</f>
        <v/>
      </c>
    </row>
    <row r="140">
      <c r="A140" t="inlineStr">
        <is>
          <t>Ending diluted shares (M)</t>
        </is>
      </c>
      <c r="B140" s="13" t="n">
        <v>927</v>
      </c>
      <c r="C140" s="21">
        <f>B140*(1+Inputs!$B$91)-C139</f>
        <v/>
      </c>
      <c r="D140" s="21">
        <f>C140*(1+Inputs!$C$91)-D139</f>
        <v/>
      </c>
      <c r="E140" s="21">
        <f>D140*(1+Inputs!$D$91)-E139</f>
        <v/>
      </c>
      <c r="F140" s="21">
        <f>E140*(1+Inputs!$E$91)-F139</f>
        <v/>
      </c>
      <c r="G140" s="21">
        <f>F140*(1+Inputs!$F$91)-G139</f>
        <v/>
      </c>
      <c r="I140" s="11" t="inlineStr">
        <is>
          <t>FY26 end-point: 925.8M basic + ~1M dilution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12-MONTH TARGET PRICE - SCENARIO ANALYSIS (target date ~Sep-2027; NTM = FY28E)</t>
        </is>
      </c>
      <c r="B1" s="2" t="n"/>
      <c r="C1" s="2" t="n"/>
      <c r="D1" s="2" t="n"/>
      <c r="E1" s="2" t="n"/>
      <c r="F1" s="2" t="n"/>
    </row>
    <row r="2">
      <c r="B2" s="3" t="inlineStr">
        <is>
          <t>Bear</t>
        </is>
      </c>
      <c r="C2" s="3" t="inlineStr">
        <is>
          <t>Base</t>
        </is>
      </c>
      <c r="D2" s="3" t="inlineStr">
        <is>
          <t>Bull</t>
        </is>
      </c>
      <c r="E2" s="3" t="inlineStr">
        <is>
          <t>Prob-wtd</t>
        </is>
      </c>
      <c r="F2" s="3" t="inlineStr">
        <is>
          <t>Notes</t>
        </is>
      </c>
    </row>
    <row r="3">
      <c r="A3" t="inlineStr">
        <is>
          <t>Probability</t>
        </is>
      </c>
      <c r="B3" s="5">
        <f>Inputs!B$21</f>
        <v/>
      </c>
      <c r="C3" s="5">
        <f>Inputs!C$21</f>
        <v/>
      </c>
      <c r="D3" s="5">
        <f>Inputs!D$21</f>
        <v/>
      </c>
      <c r="E3" s="5">
        <f>SUM(B3:D3)</f>
        <v/>
      </c>
    </row>
    <row r="4">
      <c r="A4" s="9" t="inlineStr">
        <is>
          <t>Operating outputs</t>
        </is>
      </c>
      <c r="B4" s="10" t="n"/>
      <c r="C4" s="10" t="n"/>
      <c r="D4" s="10" t="n"/>
      <c r="E4" s="10" t="n"/>
      <c r="F4" s="10" t="n"/>
    </row>
    <row r="5">
      <c r="A5" t="inlineStr">
        <is>
          <t>FY27E revenue</t>
        </is>
      </c>
      <c r="B5" s="7">
        <f>Scenarios!$C$25</f>
        <v/>
      </c>
      <c r="C5" s="7">
        <f>Scenarios!$C$72</f>
        <v/>
      </c>
      <c r="D5" s="7">
        <f>Scenarios!$C$119</f>
        <v/>
      </c>
      <c r="E5" s="7">
        <f>SUMPRODUCT(B5:D5,Inputs!$B$21:$D$21)</f>
        <v/>
      </c>
      <c r="F5" s="11" t="inlineStr">
        <is>
          <t>Consensus FY27E $4,914M (CapIQ)</t>
        </is>
      </c>
    </row>
    <row r="6">
      <c r="A6" t="inlineStr">
        <is>
          <t>FY28E revenue</t>
        </is>
      </c>
      <c r="B6" s="7">
        <f>Scenarios!$D$25</f>
        <v/>
      </c>
      <c r="C6" s="7">
        <f>Scenarios!$D$72</f>
        <v/>
      </c>
      <c r="D6" s="7">
        <f>Scenarios!$D$119</f>
        <v/>
      </c>
      <c r="E6" s="7">
        <f>SUMPRODUCT(B6:D6,Inputs!$B$21:$D$21)</f>
        <v/>
      </c>
      <c r="F6" s="11" t="inlineStr">
        <is>
          <t>Consensus FY28E $5,306M (CapIQ)</t>
        </is>
      </c>
    </row>
    <row r="7">
      <c r="A7" t="inlineStr">
        <is>
          <t>FY27E EPS</t>
        </is>
      </c>
      <c r="B7" s="4">
        <f>Scenarios!$C$36</f>
        <v/>
      </c>
      <c r="C7" s="4">
        <f>Scenarios!$C$83</f>
        <v/>
      </c>
      <c r="D7" s="4">
        <f>Scenarios!$C$130</f>
        <v/>
      </c>
      <c r="E7" s="4">
        <f>SUMPRODUCT(B7:D7,Inputs!$B$21:$D$21)</f>
        <v/>
      </c>
      <c r="F7" s="11" t="inlineStr">
        <is>
          <t>Consensus FY27E $1.63</t>
        </is>
      </c>
    </row>
    <row r="8">
      <c r="A8" s="3" t="inlineStr">
        <is>
          <t>FY28E EPS (NTM at target date)</t>
        </is>
      </c>
      <c r="B8" s="4">
        <f>Scenarios!$D$36</f>
        <v/>
      </c>
      <c r="C8" s="4">
        <f>Scenarios!$D$83</f>
        <v/>
      </c>
      <c r="D8" s="4">
        <f>Scenarios!$D$130</f>
        <v/>
      </c>
      <c r="E8" s="4">
        <f>SUMPRODUCT(B8:D8,Inputs!$B$21:$D$21)</f>
        <v/>
      </c>
      <c r="F8" s="11" t="inlineStr">
        <is>
          <t>Consensus FY28E $1.77</t>
        </is>
      </c>
    </row>
    <row r="9">
      <c r="A9" t="inlineStr">
        <is>
          <t>FY28E cash EPS (ex deal amortization)</t>
        </is>
      </c>
      <c r="B9" s="4">
        <f>Scenarios!$D$38</f>
        <v/>
      </c>
      <c r="C9" s="4">
        <f>Scenarios!$D$85</f>
        <v/>
      </c>
      <c r="D9" s="4">
        <f>Scenarios!$D$132</f>
        <v/>
      </c>
      <c r="E9" s="4">
        <f>SUMPRODUCT(B9:D9,Inputs!$B$21:$D$21)</f>
        <v/>
      </c>
    </row>
    <row r="10">
      <c r="A10" t="inlineStr">
        <is>
          <t>FY28E EBITDA</t>
        </is>
      </c>
      <c r="B10" s="7">
        <f>Scenarios!$D$30</f>
        <v/>
      </c>
      <c r="C10" s="7">
        <f>Scenarios!$D$77</f>
        <v/>
      </c>
      <c r="D10" s="7">
        <f>Scenarios!$D$124</f>
        <v/>
      </c>
      <c r="E10" s="7">
        <f>SUMPRODUCT(B10:D10,Inputs!$B$21:$D$21)</f>
        <v/>
      </c>
    </row>
    <row r="11">
      <c r="A11" t="inlineStr">
        <is>
          <t>FY27E ending net cash</t>
        </is>
      </c>
      <c r="B11" s="7">
        <f>Scenarios!$C$44-Inputs!$B$10-Inputs!$B$11</f>
        <v/>
      </c>
      <c r="C11" s="7">
        <f>Scenarios!$C$91-Inputs!$B$10-Inputs!$B$11</f>
        <v/>
      </c>
      <c r="D11" s="7">
        <f>Scenarios!$C$138-Inputs!$B$10-Inputs!$B$11</f>
        <v/>
      </c>
      <c r="E11" s="7">
        <f>SUMPRODUCT(B11:D11,Inputs!$B$21:$D$21)</f>
        <v/>
      </c>
      <c r="F11" s="11" t="inlineStr">
        <is>
          <t>Post-ACV cash, post-buybacks</t>
        </is>
      </c>
    </row>
    <row r="12">
      <c r="A12" t="inlineStr">
        <is>
          <t>FY27E ending diluted shares (M)</t>
        </is>
      </c>
      <c r="B12" s="21">
        <f>Scenarios!$C$46</f>
        <v/>
      </c>
      <c r="C12" s="21">
        <f>Scenarios!$C$93</f>
        <v/>
      </c>
      <c r="D12" s="21">
        <f>Scenarios!$C$140</f>
        <v/>
      </c>
      <c r="E12" s="21">
        <f>SUMPRODUCT(B12:D12,Inputs!$B$21:$D$21)</f>
        <v/>
      </c>
    </row>
    <row r="13">
      <c r="A13" s="9" t="inlineStr">
        <is>
          <t>Method 1: P/E on NTM EPS</t>
        </is>
      </c>
      <c r="B13" s="10" t="n"/>
      <c r="C13" s="10" t="n"/>
      <c r="D13" s="10" t="n"/>
      <c r="E13" s="10" t="n"/>
      <c r="F13" s="10" t="n"/>
    </row>
    <row r="14">
      <c r="A14" t="inlineStr">
        <is>
          <t>Target P/E</t>
        </is>
      </c>
      <c r="B14" s="8">
        <f>Inputs!$B$112</f>
        <v/>
      </c>
      <c r="C14" s="8">
        <f>Inputs!$C$112</f>
        <v/>
      </c>
      <c r="D14" s="8">
        <f>Inputs!$D$112</f>
        <v/>
      </c>
      <c r="F14" s="11" t="inlineStr">
        <is>
          <t>Current 17.7x NTM; 2-yr avg 27x</t>
        </is>
      </c>
    </row>
    <row r="15">
      <c r="A15" s="3" t="inlineStr">
        <is>
          <t>Implied price (P/E)</t>
        </is>
      </c>
      <c r="B15" s="4">
        <f>B14*B8</f>
        <v/>
      </c>
      <c r="C15" s="4">
        <f>C14*C8</f>
        <v/>
      </c>
      <c r="D15" s="4">
        <f>D14*D8</f>
        <v/>
      </c>
      <c r="E15" s="4">
        <f>SUMPRODUCT(B15:D15,Inputs!$B$21:$D$21)</f>
        <v/>
      </c>
    </row>
    <row r="16">
      <c r="A16" s="9" t="inlineStr">
        <is>
          <t>Method 2: EV/EBITDA on NTM EBITDA</t>
        </is>
      </c>
      <c r="B16" s="10" t="n"/>
      <c r="C16" s="10" t="n"/>
      <c r="D16" s="10" t="n"/>
      <c r="E16" s="10" t="n"/>
      <c r="F16" s="10" t="n"/>
    </row>
    <row r="17">
      <c r="A17" t="inlineStr">
        <is>
          <t>Target EV/EBITDA</t>
        </is>
      </c>
      <c r="B17" s="8">
        <f>Inputs!$B$113</f>
        <v/>
      </c>
      <c r="C17" s="8">
        <f>Inputs!$C$113</f>
        <v/>
      </c>
      <c r="D17" s="8">
        <f>Inputs!$D$113</f>
        <v/>
      </c>
      <c r="F17" s="11" t="inlineStr">
        <is>
          <t>Current 11.3x NTM; 2-yr avg 18.9x</t>
        </is>
      </c>
    </row>
    <row r="18">
      <c r="A18" t="inlineStr">
        <is>
          <t>Implied EV</t>
        </is>
      </c>
      <c r="B18" s="7">
        <f>B17*B10</f>
        <v/>
      </c>
      <c r="C18" s="7">
        <f>C17*C10</f>
        <v/>
      </c>
      <c r="D18" s="7">
        <f>D17*D10</f>
        <v/>
      </c>
    </row>
    <row r="19">
      <c r="A19" t="inlineStr">
        <is>
          <t>Implied equity value</t>
        </is>
      </c>
      <c r="B19" s="7">
        <f>B18+B11</f>
        <v/>
      </c>
      <c r="C19" s="7">
        <f>C18+C11</f>
        <v/>
      </c>
      <c r="D19" s="7">
        <f>D18+D11</f>
        <v/>
      </c>
    </row>
    <row r="20">
      <c r="A20" s="3" t="inlineStr">
        <is>
          <t>Implied price (EV/EBITDA)</t>
        </is>
      </c>
      <c r="B20" s="4">
        <f>B19/B12</f>
        <v/>
      </c>
      <c r="C20" s="4">
        <f>C19/C12</f>
        <v/>
      </c>
      <c r="D20" s="4">
        <f>D19/D12</f>
        <v/>
      </c>
      <c r="E20" s="4">
        <f>SUMPRODUCT(B20:D20,Inputs!$B$21:$D$21)</f>
        <v/>
      </c>
    </row>
    <row r="21">
      <c r="A21" s="9" t="inlineStr">
        <is>
          <t>Method 3: DCF (intrinsic, from DCF sheet - active scenario only)</t>
        </is>
      </c>
      <c r="B21" s="10" t="n"/>
      <c r="C21" s="10" t="n"/>
      <c r="D21" s="10" t="n"/>
      <c r="E21" s="10" t="n"/>
      <c r="F21" s="10" t="n"/>
    </row>
    <row r="22">
      <c r="A22" t="inlineStr">
        <is>
          <t>DCF value per share (active scenario)</t>
        </is>
      </c>
      <c r="B22" s="4">
        <f>IF(Inputs!$B$17=1,DCF!$B$30,"n/a - set selector")</f>
        <v/>
      </c>
      <c r="C22" s="4">
        <f>IF(Inputs!$B$17=2,DCF!$B$30,"n/a - set selector")</f>
        <v/>
      </c>
      <c r="D22" s="4">
        <f>IF(Inputs!$B$17=3,DCF!$B$30,"n/a - set selector")</f>
        <v/>
      </c>
      <c r="F22" s="11" t="inlineStr">
        <is>
          <t>Run each scenario via Inputs!B17 to populate</t>
        </is>
      </c>
    </row>
    <row r="23">
      <c r="A23" s="9" t="inlineStr">
        <is>
          <t>Blended 12-month target</t>
        </is>
      </c>
      <c r="B23" s="10" t="n"/>
      <c r="C23" s="10" t="n"/>
      <c r="D23" s="10" t="n"/>
      <c r="E23" s="10" t="n"/>
      <c r="F23" s="10" t="n"/>
    </row>
    <row r="24">
      <c r="A24" t="inlineStr">
        <is>
          <t>Weight: P/E method</t>
        </is>
      </c>
      <c r="B24" s="16" t="n">
        <v>0.5</v>
      </c>
      <c r="F24" s="11" t="inlineStr">
        <is>
          <t>Remaining weight to EV/EBITDA</t>
        </is>
      </c>
    </row>
    <row r="25">
      <c r="A25" s="3" t="inlineStr">
        <is>
          <t>12-month target price</t>
        </is>
      </c>
      <c r="B25" s="4">
        <f>$B$24*B15+(1-$B$24)*B20</f>
        <v/>
      </c>
      <c r="C25" s="4">
        <f>$B$24*C15+(1-$B$24)*C20</f>
        <v/>
      </c>
      <c r="D25" s="4">
        <f>$B$24*D15+(1-$B$24)*D20</f>
        <v/>
      </c>
      <c r="E25" s="4">
        <f>SUMPRODUCT(B25:D25,Inputs!$B$21:$D$21)</f>
        <v/>
      </c>
    </row>
    <row r="26">
      <c r="A26" s="3" t="inlineStr">
        <is>
          <t>Upside / (downside) vs current</t>
        </is>
      </c>
      <c r="B26" s="5">
        <f>B25/Inputs!$B$6-1</f>
        <v/>
      </c>
      <c r="C26" s="5">
        <f>C25/Inputs!$B$6-1</f>
        <v/>
      </c>
      <c r="D26" s="5">
        <f>D25/Inputs!$B$6-1</f>
        <v/>
      </c>
      <c r="E26" s="5">
        <f>E25/Inputs!$B$6-1</f>
        <v/>
      </c>
    </row>
    <row r="27">
      <c r="A27" t="inlineStr">
        <is>
          <t>Implied NTM P/E at target (check)</t>
        </is>
      </c>
      <c r="B27" s="8">
        <f>B25/B8</f>
        <v/>
      </c>
      <c r="C27" s="8">
        <f>C25/C8</f>
        <v/>
      </c>
      <c r="D27" s="8">
        <f>D25/D8</f>
        <v/>
      </c>
    </row>
    <row r="28">
      <c r="A28" t="inlineStr">
        <is>
          <t>Implied EV/NTM EBITDA at target (check)</t>
        </is>
      </c>
      <c r="B28" s="8">
        <f>(B25*B12-B11)/B10</f>
        <v/>
      </c>
      <c r="C28" s="8">
        <f>(C25*C12-C11)/C10</f>
        <v/>
      </c>
      <c r="D28" s="8">
        <f>(D25*D12-D11)/D10</f>
        <v/>
      </c>
    </row>
    <row r="30">
      <c r="A30" s="9" t="inlineStr">
        <is>
          <t>Risk / reward</t>
        </is>
      </c>
      <c r="B30" s="10" t="n"/>
      <c r="C30" s="10" t="n"/>
      <c r="D30" s="10" t="n"/>
      <c r="E30" s="10" t="n"/>
      <c r="F30" s="10" t="n"/>
    </row>
    <row r="31">
      <c r="A31" t="inlineStr">
        <is>
          <t>Current price</t>
        </is>
      </c>
      <c r="B31" s="25">
        <f>Inputs!$B$6</f>
        <v/>
      </c>
    </row>
    <row r="32">
      <c r="A32" t="inlineStr">
        <is>
          <t>Probability-weighted target</t>
        </is>
      </c>
      <c r="B32" s="4">
        <f>E25</f>
        <v/>
      </c>
    </row>
    <row r="33">
      <c r="A33" t="inlineStr">
        <is>
          <t>Probability-weighted expected return</t>
        </is>
      </c>
      <c r="B33" s="5">
        <f>E26</f>
        <v/>
      </c>
    </row>
    <row r="34">
      <c r="A34" t="inlineStr">
        <is>
          <t>Upside (bull) / downside (bear) ratio</t>
        </is>
      </c>
      <c r="B34" s="8">
        <f>(D25-Inputs!$B$6)/(Inputs!$B$6-B25)</f>
        <v/>
      </c>
    </row>
    <row r="35">
      <c r="A35" t="inlineStr">
        <is>
          <t>Current NTM P/E (FY27E consensus EPS $1.63)</t>
        </is>
      </c>
      <c r="B35" s="8">
        <f>Inputs!$B$6/1.63</f>
        <v/>
      </c>
    </row>
    <row r="36">
      <c r="A36" t="inlineStr">
        <is>
          <t>Current EV / FY26A EBITDA</t>
        </is>
      </c>
      <c r="B36" s="8">
        <f>Inputs!$B$13/1882</f>
        <v/>
      </c>
    </row>
    <row r="38">
      <c r="A38" s="9" t="inlineStr">
        <is>
          <t>Sensitivity: 12-month price = Target P/E x FY28E EPS</t>
        </is>
      </c>
      <c r="B38" s="10" t="n"/>
      <c r="C38" s="10" t="n"/>
      <c r="D38" s="10" t="n"/>
      <c r="E38" s="10" t="n"/>
      <c r="F38" s="10" t="n"/>
    </row>
    <row r="39">
      <c r="A39" s="3" t="inlineStr">
        <is>
          <t>FY28E EPS -&gt;</t>
        </is>
      </c>
      <c r="B39" s="26" t="n">
        <v>1.45</v>
      </c>
      <c r="C39" s="26" t="n">
        <v>1.55</v>
      </c>
      <c r="D39" s="26" t="n">
        <v>1.65</v>
      </c>
      <c r="E39" s="26" t="n">
        <v>1.75</v>
      </c>
      <c r="F39" s="26" t="n">
        <v>1.85</v>
      </c>
      <c r="G39" s="26" t="n">
        <v>1.95</v>
      </c>
    </row>
    <row r="40">
      <c r="A40" s="27" t="n">
        <v>14</v>
      </c>
      <c r="B40" s="4">
        <f>$A40*B$39</f>
        <v/>
      </c>
      <c r="C40" s="4">
        <f>$A40*C$39</f>
        <v/>
      </c>
      <c r="D40" s="4">
        <f>$A40*D$39</f>
        <v/>
      </c>
      <c r="E40" s="4">
        <f>$A40*E$39</f>
        <v/>
      </c>
      <c r="F40" s="4">
        <f>$A40*F$39</f>
        <v/>
      </c>
      <c r="G40" s="4">
        <f>$A40*G$39</f>
        <v/>
      </c>
    </row>
    <row r="41">
      <c r="A41" s="27" t="n">
        <v>16</v>
      </c>
      <c r="B41" s="4">
        <f>$A41*B$39</f>
        <v/>
      </c>
      <c r="C41" s="4">
        <f>$A41*C$39</f>
        <v/>
      </c>
      <c r="D41" s="4">
        <f>$A41*D$39</f>
        <v/>
      </c>
      <c r="E41" s="4">
        <f>$A41*E$39</f>
        <v/>
      </c>
      <c r="F41" s="4">
        <f>$A41*F$39</f>
        <v/>
      </c>
      <c r="G41" s="4">
        <f>$A41*G$39</f>
        <v/>
      </c>
    </row>
    <row r="42">
      <c r="A42" s="27" t="n">
        <v>18</v>
      </c>
      <c r="B42" s="4">
        <f>$A42*B$39</f>
        <v/>
      </c>
      <c r="C42" s="4">
        <f>$A42*C$39</f>
        <v/>
      </c>
      <c r="D42" s="4">
        <f>$A42*D$39</f>
        <v/>
      </c>
      <c r="E42" s="4">
        <f>$A42*E$39</f>
        <v/>
      </c>
      <c r="F42" s="4">
        <f>$A42*F$39</f>
        <v/>
      </c>
      <c r="G42" s="4">
        <f>$A42*G$39</f>
        <v/>
      </c>
    </row>
    <row r="43">
      <c r="A43" s="27" t="n">
        <v>20</v>
      </c>
      <c r="B43" s="4">
        <f>$A43*B$39</f>
        <v/>
      </c>
      <c r="C43" s="4">
        <f>$A43*C$39</f>
        <v/>
      </c>
      <c r="D43" s="4">
        <f>$A43*D$39</f>
        <v/>
      </c>
      <c r="E43" s="4">
        <f>$A43*E$39</f>
        <v/>
      </c>
      <c r="F43" s="4">
        <f>$A43*F$39</f>
        <v/>
      </c>
      <c r="G43" s="4">
        <f>$A43*G$39</f>
        <v/>
      </c>
    </row>
    <row r="44">
      <c r="A44" s="27" t="n">
        <v>22</v>
      </c>
      <c r="B44" s="4">
        <f>$A44*B$39</f>
        <v/>
      </c>
      <c r="C44" s="4">
        <f>$A44*C$39</f>
        <v/>
      </c>
      <c r="D44" s="4">
        <f>$A44*D$39</f>
        <v/>
      </c>
      <c r="E44" s="4">
        <f>$A44*E$39</f>
        <v/>
      </c>
      <c r="F44" s="4">
        <f>$A44*F$39</f>
        <v/>
      </c>
      <c r="G44" s="4">
        <f>$A44*G$39</f>
        <v/>
      </c>
    </row>
    <row r="45">
      <c r="A45" s="27" t="n">
        <v>24</v>
      </c>
      <c r="B45" s="4">
        <f>$A45*B$39</f>
        <v/>
      </c>
      <c r="C45" s="4">
        <f>$A45*C$39</f>
        <v/>
      </c>
      <c r="D45" s="4">
        <f>$A45*D$39</f>
        <v/>
      </c>
      <c r="E45" s="4">
        <f>$A45*E$39</f>
        <v/>
      </c>
      <c r="F45" s="4">
        <f>$A45*F$39</f>
        <v/>
      </c>
      <c r="G45" s="4">
        <f>$A45*G$39</f>
        <v/>
      </c>
    </row>
    <row r="46">
      <c r="A46" s="27" t="n">
        <v>26</v>
      </c>
      <c r="B46" s="4">
        <f>$A46*B$39</f>
        <v/>
      </c>
      <c r="C46" s="4">
        <f>$A46*C$39</f>
        <v/>
      </c>
      <c r="D46" s="4">
        <f>$A46*D$39</f>
        <v/>
      </c>
      <c r="E46" s="4">
        <f>$A46*E$39</f>
        <v/>
      </c>
      <c r="F46" s="4">
        <f>$A46*F$39</f>
        <v/>
      </c>
      <c r="G46" s="4">
        <f>$A46*G$39</f>
        <v/>
      </c>
    </row>
    <row r="47">
      <c r="A47" s="27" t="n">
        <v>28</v>
      </c>
      <c r="B47" s="4">
        <f>$A47*B$39</f>
        <v/>
      </c>
      <c r="C47" s="4">
        <f>$A47*C$39</f>
        <v/>
      </c>
      <c r="D47" s="4">
        <f>$A47*D$39</f>
        <v/>
      </c>
      <c r="E47" s="4">
        <f>$A47*E$39</f>
        <v/>
      </c>
      <c r="F47" s="4">
        <f>$A47*F$39</f>
        <v/>
      </c>
      <c r="G47" s="4">
        <f>$A47*G$39</f>
        <v/>
      </c>
    </row>
    <row r="48">
      <c r="A48" s="27" t="n">
        <v>30</v>
      </c>
      <c r="B48" s="4">
        <f>$A48*B$39</f>
        <v/>
      </c>
      <c r="C48" s="4">
        <f>$A48*C$39</f>
        <v/>
      </c>
      <c r="D48" s="4">
        <f>$A48*D$39</f>
        <v/>
      </c>
      <c r="E48" s="4">
        <f>$A48*E$39</f>
        <v/>
      </c>
      <c r="F48" s="4">
        <f>$A48*F$39</f>
        <v/>
      </c>
      <c r="G48" s="4">
        <f>$A48*G$39</f>
        <v/>
      </c>
    </row>
    <row r="49">
      <c r="A49" s="11" t="inlineStr">
        <is>
          <t>Green = above current price; red = below</t>
        </is>
      </c>
    </row>
  </sheetData>
  <conditionalFormatting sqref="B40:G48">
    <cfRule type="cellIs" priority="1" operator="greaterThan" dxfId="0">
      <formula>Inputs!$B$6</formula>
    </cfRule>
    <cfRule type="cellIs" priority="2" operator="lessThan" dxfId="1">
      <formula>Inputs!$B$6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30" customWidth="1" min="8" max="8"/>
  </cols>
  <sheetData>
    <row r="1">
      <c r="A1" s="1" t="inlineStr">
        <is>
          <t>DCF - ACTIVE SCENARIO (5-yr explicit, Gordon growth terminal)  |  $M</t>
        </is>
      </c>
      <c r="B1" s="2" t="n"/>
      <c r="C1" s="2" t="n"/>
      <c r="D1" s="2" t="n"/>
      <c r="E1" s="2" t="n"/>
      <c r="F1" s="2" t="n"/>
      <c r="G1" s="2" t="n"/>
      <c r="H1" s="1">
        <f>CHOOSE(Inputs!$B$17,"BEAR","BASE","BULL")</f>
        <v/>
      </c>
    </row>
    <row r="3">
      <c r="B3" s="3" t="inlineStr">
        <is>
          <t>FY27E</t>
        </is>
      </c>
      <c r="C3" s="3" t="inlineStr">
        <is>
          <t>FY28E</t>
        </is>
      </c>
      <c r="D3" s="3" t="inlineStr">
        <is>
          <t>FY29E</t>
        </is>
      </c>
      <c r="E3" s="3" t="inlineStr">
        <is>
          <t>FY30E</t>
        </is>
      </c>
      <c r="F3" s="3" t="inlineStr">
        <is>
          <t>FY31E</t>
        </is>
      </c>
    </row>
    <row r="4">
      <c r="A4" t="inlineStr">
        <is>
          <t>Unlevered FCF</t>
        </is>
      </c>
      <c r="B4" s="22">
        <f>Model!C40</f>
        <v/>
      </c>
      <c r="C4" s="22">
        <f>Model!D40</f>
        <v/>
      </c>
      <c r="D4" s="22">
        <f>Model!E40</f>
        <v/>
      </c>
      <c r="E4" s="22">
        <f>Model!F40</f>
        <v/>
      </c>
      <c r="F4" s="22">
        <f>Model!G40</f>
        <v/>
      </c>
    </row>
    <row r="5">
      <c r="A5" t="inlineStr">
        <is>
          <t>Discount period (yrs)</t>
        </is>
      </c>
      <c r="B5" s="28">
        <f>1-0.5*Inputs!$B$136</f>
        <v/>
      </c>
      <c r="C5" s="28">
        <f>2-0.5*Inputs!$B$136</f>
        <v/>
      </c>
      <c r="D5" s="28">
        <f>3-0.5*Inputs!$B$136</f>
        <v/>
      </c>
      <c r="E5" s="28">
        <f>4-0.5*Inputs!$B$136</f>
        <v/>
      </c>
      <c r="F5" s="28">
        <f>5-0.5*Inputs!$B$136</f>
        <v/>
      </c>
    </row>
    <row r="6">
      <c r="A6" t="inlineStr">
        <is>
          <t>Discount factor</t>
        </is>
      </c>
      <c r="B6" s="29">
        <f>1/(1+Inputs!$B$134)^B5</f>
        <v/>
      </c>
      <c r="C6" s="29">
        <f>1/(1+Inputs!$B$134)^C5</f>
        <v/>
      </c>
      <c r="D6" s="29">
        <f>1/(1+Inputs!$B$134)^D5</f>
        <v/>
      </c>
      <c r="E6" s="29">
        <f>1/(1+Inputs!$B$134)^E5</f>
        <v/>
      </c>
      <c r="F6" s="29">
        <f>1/(1+Inputs!$B$134)^F5</f>
        <v/>
      </c>
    </row>
    <row r="7">
      <c r="A7" t="inlineStr">
        <is>
          <t>PV of FCF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9">
      <c r="A9" t="inlineStr">
        <is>
          <t>WACC</t>
        </is>
      </c>
      <c r="B9" s="5">
        <f>Inputs!$B$134</f>
        <v/>
      </c>
    </row>
    <row r="10">
      <c r="A10" t="inlineStr">
        <is>
          <t>Terminal growth</t>
        </is>
      </c>
      <c r="B10" s="5">
        <f>Inputs!$B$135</f>
        <v/>
      </c>
    </row>
    <row r="11">
      <c r="A11" t="inlineStr">
        <is>
          <t>Terminal value (FY31 FCF x (1+g) / (WACC-g))</t>
        </is>
      </c>
      <c r="B11" s="7">
        <f>F4*(1+B10)/(B9-B10)</f>
        <v/>
      </c>
    </row>
    <row r="12">
      <c r="A12" t="inlineStr">
        <is>
          <t>PV of terminal value</t>
        </is>
      </c>
      <c r="B12" s="7">
        <f>B11*F6</f>
        <v/>
      </c>
    </row>
    <row r="13">
      <c r="A13" t="inlineStr">
        <is>
          <t>Sum PV of FCF (FY27-31)</t>
        </is>
      </c>
      <c r="B13" s="7">
        <f>SUM(B7:F7)</f>
        <v/>
      </c>
    </row>
    <row r="14">
      <c r="A14" t="inlineStr">
        <is>
          <t>Enterprise value</t>
        </is>
      </c>
      <c r="B14" s="7">
        <f>B12+B13</f>
        <v/>
      </c>
    </row>
    <row r="15">
      <c r="A15" t="inlineStr">
        <is>
          <t xml:space="preserve">  % of EV from terminal value</t>
        </is>
      </c>
      <c r="B15" s="5">
        <f>B12/B14</f>
        <v/>
      </c>
    </row>
    <row r="16">
      <c r="A16" t="inlineStr">
        <is>
          <t>Plus: cash &amp; investments (31-Jul-26)</t>
        </is>
      </c>
      <c r="B16" s="7">
        <f>Inputs!$B$9</f>
        <v/>
      </c>
    </row>
    <row r="17">
      <c r="A17" t="inlineStr">
        <is>
          <t>Less: ACV purchase price (cash out at close)</t>
        </is>
      </c>
      <c r="B17" s="7">
        <f>-Inputs!$B$116</f>
        <v/>
      </c>
    </row>
    <row r="18">
      <c r="A18" t="inlineStr">
        <is>
          <t>Less: debt &amp; minority interest</t>
        </is>
      </c>
      <c r="B18" s="7">
        <f>-Inputs!$B$10-Inputs!$B$11</f>
        <v/>
      </c>
    </row>
    <row r="19">
      <c r="A19" t="inlineStr">
        <is>
          <t>Equity value</t>
        </is>
      </c>
      <c r="B19" s="7">
        <f>SUM(B14,B16:B18)</f>
        <v/>
      </c>
    </row>
    <row r="20">
      <c r="A20" t="inlineStr">
        <is>
          <t>Diluted shares today (M)</t>
        </is>
      </c>
      <c r="B20" s="21">
        <f>Model!B46</f>
        <v/>
      </c>
    </row>
    <row r="21">
      <c r="A21" s="3" t="inlineStr">
        <is>
          <t>DCF value per share ($)</t>
        </is>
      </c>
      <c r="B21" s="26">
        <f>B19/B20</f>
        <v/>
      </c>
    </row>
    <row r="22">
      <c r="A22" t="inlineStr">
        <is>
          <t>Upside vs current</t>
        </is>
      </c>
      <c r="B22" s="5">
        <f>B21/Inputs!$B$6-1</f>
        <v/>
      </c>
    </row>
    <row r="23">
      <c r="A23" t="inlineStr">
        <is>
          <t>Implied EV / FY27E EBITDA</t>
        </is>
      </c>
      <c r="B23" s="8">
        <f>B14/Model!C30</f>
        <v/>
      </c>
    </row>
    <row r="24">
      <c r="A24" t="inlineStr">
        <is>
          <t>Implied terminal EV / FY31 EBITDA</t>
        </is>
      </c>
      <c r="B24" s="8">
        <f>B11/Model!G30</f>
        <v/>
      </c>
    </row>
    <row r="30">
      <c r="A30" s="3" t="inlineStr">
        <is>
          <t>DCF value per share (link)</t>
        </is>
      </c>
      <c r="B30" s="4">
        <f>B21</f>
        <v/>
      </c>
    </row>
    <row r="32">
      <c r="A32" s="9" t="inlineStr">
        <is>
          <t>Sensitivity: DCF value per share vs WACC (rows) and terminal growth (cols)</t>
        </is>
      </c>
      <c r="B32" s="10" t="n"/>
      <c r="C32" s="10" t="n"/>
      <c r="D32" s="10" t="n"/>
      <c r="E32" s="10" t="n"/>
      <c r="F32" s="10" t="n"/>
      <c r="G32" s="10" t="n"/>
      <c r="H32" s="10" t="n"/>
    </row>
    <row r="33">
      <c r="A33" s="3" t="inlineStr">
        <is>
          <t>WACC \ g</t>
        </is>
      </c>
      <c r="B33" s="30" t="n">
        <v>0.02</v>
      </c>
      <c r="C33" s="30" t="n">
        <v>0.025</v>
      </c>
      <c r="D33" s="30" t="n">
        <v>0.03</v>
      </c>
      <c r="E33" s="30" t="n">
        <v>0.035</v>
      </c>
      <c r="F33" s="30" t="n">
        <v>0.04</v>
      </c>
    </row>
    <row r="34">
      <c r="A34" s="30" t="n">
        <v>0.075</v>
      </c>
      <c r="B34" s="4">
        <f>(B$4/(1+$A34)^B$5+C$4/(1+$A34)^C$5+D$4/(1+$A34)^D$5+E$4/(1+$A34)^E$5+F$4/(1+$A34)^F$5+F$4*(1+B$33)/($A34-B$33)/(1+$A34)^F$5+$B$16+$B$17+$B$18)/$B$20</f>
        <v/>
      </c>
      <c r="C34" s="4">
        <f>(B$4/(1+$A34)^B$5+C$4/(1+$A34)^C$5+D$4/(1+$A34)^D$5+E$4/(1+$A34)^E$5+F$4/(1+$A34)^F$5+F$4*(1+C$33)/($A34-C$33)/(1+$A34)^F$5+$B$16+$B$17+$B$18)/$B$20</f>
        <v/>
      </c>
      <c r="D34" s="4">
        <f>(B$4/(1+$A34)^B$5+C$4/(1+$A34)^C$5+D$4/(1+$A34)^D$5+E$4/(1+$A34)^E$5+F$4/(1+$A34)^F$5+F$4*(1+D$33)/($A34-D$33)/(1+$A34)^F$5+$B$16+$B$17+$B$18)/$B$20</f>
        <v/>
      </c>
      <c r="E34" s="4">
        <f>(B$4/(1+$A34)^B$5+C$4/(1+$A34)^C$5+D$4/(1+$A34)^D$5+E$4/(1+$A34)^E$5+F$4/(1+$A34)^F$5+F$4*(1+E$33)/($A34-E$33)/(1+$A34)^F$5+$B$16+$B$17+$B$18)/$B$20</f>
        <v/>
      </c>
      <c r="F34" s="4">
        <f>(B$4/(1+$A34)^B$5+C$4/(1+$A34)^C$5+D$4/(1+$A34)^D$5+E$4/(1+$A34)^E$5+F$4/(1+$A34)^F$5+F$4*(1+F$33)/($A34-F$33)/(1+$A34)^F$5+$B$16+$B$17+$B$18)/$B$20</f>
        <v/>
      </c>
    </row>
    <row r="35">
      <c r="A35" s="30" t="n">
        <v>0.08</v>
      </c>
      <c r="B35" s="4">
        <f>(B$4/(1+$A35)^B$5+C$4/(1+$A35)^C$5+D$4/(1+$A35)^D$5+E$4/(1+$A35)^E$5+F$4/(1+$A35)^F$5+F$4*(1+B$33)/($A35-B$33)/(1+$A35)^F$5+$B$16+$B$17+$B$18)/$B$20</f>
        <v/>
      </c>
      <c r="C35" s="4">
        <f>(B$4/(1+$A35)^B$5+C$4/(1+$A35)^C$5+D$4/(1+$A35)^D$5+E$4/(1+$A35)^E$5+F$4/(1+$A35)^F$5+F$4*(1+C$33)/($A35-C$33)/(1+$A35)^F$5+$B$16+$B$17+$B$18)/$B$20</f>
        <v/>
      </c>
      <c r="D35" s="4">
        <f>(B$4/(1+$A35)^B$5+C$4/(1+$A35)^C$5+D$4/(1+$A35)^D$5+E$4/(1+$A35)^E$5+F$4/(1+$A35)^F$5+F$4*(1+D$33)/($A35-D$33)/(1+$A35)^F$5+$B$16+$B$17+$B$18)/$B$20</f>
        <v/>
      </c>
      <c r="E35" s="4">
        <f>(B$4/(1+$A35)^B$5+C$4/(1+$A35)^C$5+D$4/(1+$A35)^D$5+E$4/(1+$A35)^E$5+F$4/(1+$A35)^F$5+F$4*(1+E$33)/($A35-E$33)/(1+$A35)^F$5+$B$16+$B$17+$B$18)/$B$20</f>
        <v/>
      </c>
      <c r="F35" s="4">
        <f>(B$4/(1+$A35)^B$5+C$4/(1+$A35)^C$5+D$4/(1+$A35)^D$5+E$4/(1+$A35)^E$5+F$4/(1+$A35)^F$5+F$4*(1+F$33)/($A35-F$33)/(1+$A35)^F$5+$B$16+$B$17+$B$18)/$B$20</f>
        <v/>
      </c>
    </row>
    <row r="36">
      <c r="A36" s="30" t="n">
        <v>0.08500000000000001</v>
      </c>
      <c r="B36" s="4">
        <f>(B$4/(1+$A36)^B$5+C$4/(1+$A36)^C$5+D$4/(1+$A36)^D$5+E$4/(1+$A36)^E$5+F$4/(1+$A36)^F$5+F$4*(1+B$33)/($A36-B$33)/(1+$A36)^F$5+$B$16+$B$17+$B$18)/$B$20</f>
        <v/>
      </c>
      <c r="C36" s="4">
        <f>(B$4/(1+$A36)^B$5+C$4/(1+$A36)^C$5+D$4/(1+$A36)^D$5+E$4/(1+$A36)^E$5+F$4/(1+$A36)^F$5+F$4*(1+C$33)/($A36-C$33)/(1+$A36)^F$5+$B$16+$B$17+$B$18)/$B$20</f>
        <v/>
      </c>
      <c r="D36" s="4">
        <f>(B$4/(1+$A36)^B$5+C$4/(1+$A36)^C$5+D$4/(1+$A36)^D$5+E$4/(1+$A36)^E$5+F$4/(1+$A36)^F$5+F$4*(1+D$33)/($A36-D$33)/(1+$A36)^F$5+$B$16+$B$17+$B$18)/$B$20</f>
        <v/>
      </c>
      <c r="E36" s="4">
        <f>(B$4/(1+$A36)^B$5+C$4/(1+$A36)^C$5+D$4/(1+$A36)^D$5+E$4/(1+$A36)^E$5+F$4/(1+$A36)^F$5+F$4*(1+E$33)/($A36-E$33)/(1+$A36)^F$5+$B$16+$B$17+$B$18)/$B$20</f>
        <v/>
      </c>
      <c r="F36" s="4">
        <f>(B$4/(1+$A36)^B$5+C$4/(1+$A36)^C$5+D$4/(1+$A36)^D$5+E$4/(1+$A36)^E$5+F$4/(1+$A36)^F$5+F$4*(1+F$33)/($A36-F$33)/(1+$A36)^F$5+$B$16+$B$17+$B$18)/$B$20</f>
        <v/>
      </c>
    </row>
    <row r="37">
      <c r="A37" s="30" t="n">
        <v>0.09</v>
      </c>
      <c r="B37" s="4">
        <f>(B$4/(1+$A37)^B$5+C$4/(1+$A37)^C$5+D$4/(1+$A37)^D$5+E$4/(1+$A37)^E$5+F$4/(1+$A37)^F$5+F$4*(1+B$33)/($A37-B$33)/(1+$A37)^F$5+$B$16+$B$17+$B$18)/$B$20</f>
        <v/>
      </c>
      <c r="C37" s="4">
        <f>(B$4/(1+$A37)^B$5+C$4/(1+$A37)^C$5+D$4/(1+$A37)^D$5+E$4/(1+$A37)^E$5+F$4/(1+$A37)^F$5+F$4*(1+C$33)/($A37-C$33)/(1+$A37)^F$5+$B$16+$B$17+$B$18)/$B$20</f>
        <v/>
      </c>
      <c r="D37" s="4">
        <f>(B$4/(1+$A37)^B$5+C$4/(1+$A37)^C$5+D$4/(1+$A37)^D$5+E$4/(1+$A37)^E$5+F$4/(1+$A37)^F$5+F$4*(1+D$33)/($A37-D$33)/(1+$A37)^F$5+$B$16+$B$17+$B$18)/$B$20</f>
        <v/>
      </c>
      <c r="E37" s="4">
        <f>(B$4/(1+$A37)^B$5+C$4/(1+$A37)^C$5+D$4/(1+$A37)^D$5+E$4/(1+$A37)^E$5+F$4/(1+$A37)^F$5+F$4*(1+E$33)/($A37-E$33)/(1+$A37)^F$5+$B$16+$B$17+$B$18)/$B$20</f>
        <v/>
      </c>
      <c r="F37" s="4">
        <f>(B$4/(1+$A37)^B$5+C$4/(1+$A37)^C$5+D$4/(1+$A37)^D$5+E$4/(1+$A37)^E$5+F$4/(1+$A37)^F$5+F$4*(1+F$33)/($A37-F$33)/(1+$A37)^F$5+$B$16+$B$17+$B$18)/$B$20</f>
        <v/>
      </c>
    </row>
    <row r="38">
      <c r="A38" s="30" t="n">
        <v>0.095</v>
      </c>
      <c r="B38" s="4">
        <f>(B$4/(1+$A38)^B$5+C$4/(1+$A38)^C$5+D$4/(1+$A38)^D$5+E$4/(1+$A38)^E$5+F$4/(1+$A38)^F$5+F$4*(1+B$33)/($A38-B$33)/(1+$A38)^F$5+$B$16+$B$17+$B$18)/$B$20</f>
        <v/>
      </c>
      <c r="C38" s="4">
        <f>(B$4/(1+$A38)^B$5+C$4/(1+$A38)^C$5+D$4/(1+$A38)^D$5+E$4/(1+$A38)^E$5+F$4/(1+$A38)^F$5+F$4*(1+C$33)/($A38-C$33)/(1+$A38)^F$5+$B$16+$B$17+$B$18)/$B$20</f>
        <v/>
      </c>
      <c r="D38" s="4">
        <f>(B$4/(1+$A38)^B$5+C$4/(1+$A38)^C$5+D$4/(1+$A38)^D$5+E$4/(1+$A38)^E$5+F$4/(1+$A38)^F$5+F$4*(1+D$33)/($A38-D$33)/(1+$A38)^F$5+$B$16+$B$17+$B$18)/$B$20</f>
        <v/>
      </c>
      <c r="E38" s="4">
        <f>(B$4/(1+$A38)^B$5+C$4/(1+$A38)^C$5+D$4/(1+$A38)^D$5+E$4/(1+$A38)^E$5+F$4/(1+$A38)^F$5+F$4*(1+E$33)/($A38-E$33)/(1+$A38)^F$5+$B$16+$B$17+$B$18)/$B$20</f>
        <v/>
      </c>
      <c r="F38" s="4">
        <f>(B$4/(1+$A38)^B$5+C$4/(1+$A38)^C$5+D$4/(1+$A38)^D$5+E$4/(1+$A38)^E$5+F$4/(1+$A38)^F$5+F$4*(1+F$33)/($A38-F$33)/(1+$A38)^F$5+$B$16+$B$17+$B$18)/$B$20</f>
        <v/>
      </c>
    </row>
    <row r="39">
      <c r="A39" s="30" t="n">
        <v>0.1</v>
      </c>
      <c r="B39" s="4">
        <f>(B$4/(1+$A39)^B$5+C$4/(1+$A39)^C$5+D$4/(1+$A39)^D$5+E$4/(1+$A39)^E$5+F$4/(1+$A39)^F$5+F$4*(1+B$33)/($A39-B$33)/(1+$A39)^F$5+$B$16+$B$17+$B$18)/$B$20</f>
        <v/>
      </c>
      <c r="C39" s="4">
        <f>(B$4/(1+$A39)^B$5+C$4/(1+$A39)^C$5+D$4/(1+$A39)^D$5+E$4/(1+$A39)^E$5+F$4/(1+$A39)^F$5+F$4*(1+C$33)/($A39-C$33)/(1+$A39)^F$5+$B$16+$B$17+$B$18)/$B$20</f>
        <v/>
      </c>
      <c r="D39" s="4">
        <f>(B$4/(1+$A39)^B$5+C$4/(1+$A39)^C$5+D$4/(1+$A39)^D$5+E$4/(1+$A39)^E$5+F$4/(1+$A39)^F$5+F$4*(1+D$33)/($A39-D$33)/(1+$A39)^F$5+$B$16+$B$17+$B$18)/$B$20</f>
        <v/>
      </c>
      <c r="E39" s="4">
        <f>(B$4/(1+$A39)^B$5+C$4/(1+$A39)^C$5+D$4/(1+$A39)^D$5+E$4/(1+$A39)^E$5+F$4/(1+$A39)^F$5+F$4*(1+E$33)/($A39-E$33)/(1+$A39)^F$5+$B$16+$B$17+$B$18)/$B$20</f>
        <v/>
      </c>
      <c r="F39" s="4">
        <f>(B$4/(1+$A39)^B$5+C$4/(1+$A39)^C$5+D$4/(1+$A39)^D$5+E$4/(1+$A39)^E$5+F$4/(1+$A39)^F$5+F$4*(1+F$33)/($A39-F$33)/(1+$A39)^F$5+$B$16+$B$17+$B$18)/$B$20</f>
        <v/>
      </c>
    </row>
  </sheetData>
  <conditionalFormatting sqref="B34:F39">
    <cfRule type="cellIs" priority="1" operator="greaterThan" dxfId="0">
      <formula>Inputs!$B$6</formula>
    </cfRule>
    <cfRule type="cellIs" priority="2" operator="lessThan" dxfId="1">
      <formula>Inputs!$B$6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6" customWidth="1" min="9" max="9"/>
  </cols>
  <sheetData>
    <row r="1">
      <c r="A1" s="1" t="inlineStr">
        <is>
          <t>COMPARABLE COMPANIES &amp; CPRT HISTORY  (approx. public data as of 24-Sep-2026; verify before submission)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Company</t>
        </is>
      </c>
      <c r="B3" s="3" t="inlineStr">
        <is>
          <t>Ticker</t>
        </is>
      </c>
      <c r="C3" s="3" t="inlineStr">
        <is>
          <t>EV ($B)</t>
        </is>
      </c>
      <c r="D3" s="3" t="inlineStr">
        <is>
          <t>EV/EBITDA (LTM)</t>
        </is>
      </c>
      <c r="E3" s="3" t="inlineStr">
        <is>
          <t>EV/EBITDA (NTM)</t>
        </is>
      </c>
      <c r="F3" s="3" t="inlineStr">
        <is>
          <t>P/E (NTM)</t>
        </is>
      </c>
      <c r="G3" s="3" t="inlineStr">
        <is>
          <t>EBIT margin</t>
        </is>
      </c>
      <c r="H3" s="3" t="inlineStr">
        <is>
          <t>Net debt/EBITDA</t>
        </is>
      </c>
      <c r="I3" s="3" t="inlineStr">
        <is>
          <t>Comment</t>
        </is>
      </c>
    </row>
    <row r="4">
      <c r="A4" t="inlineStr">
        <is>
          <t>RB Global (owns IAA)</t>
        </is>
      </c>
      <c r="B4" t="inlineStr">
        <is>
          <t>RBA</t>
        </is>
      </c>
      <c r="C4" s="31" t="n">
        <v>19.3</v>
      </c>
      <c r="D4" s="19" t="n">
        <v>14.8</v>
      </c>
      <c r="E4" s="19" t="n">
        <v>13</v>
      </c>
      <c r="F4" s="19" t="n">
        <v>17.9</v>
      </c>
      <c r="G4" s="16" t="n">
        <v>0.17</v>
      </c>
      <c r="H4" s="19" t="n">
        <v>1.5</v>
      </c>
      <c r="I4" t="inlineStr">
        <is>
          <t>Direct salvage competitor via IAA; levered; margins ~half of CPRT; StockAnalysis/Finviz</t>
        </is>
      </c>
    </row>
    <row r="5">
      <c r="A5" t="inlineStr">
        <is>
          <t>OPENLANE</t>
        </is>
      </c>
      <c r="B5" t="inlineStr">
        <is>
          <t>KAR</t>
        </is>
      </c>
      <c r="C5" s="31" t="n">
        <v>2.9</v>
      </c>
      <c r="D5" s="19" t="n">
        <v>10</v>
      </c>
      <c r="E5" s="19" t="n">
        <v>8.5</v>
      </c>
      <c r="F5" s="19" t="n">
        <v>20</v>
      </c>
      <c r="G5" s="16" t="n">
        <v>0.1</v>
      </c>
      <c r="H5" s="19" t="n">
        <v>0.5</v>
      </c>
      <c r="I5" t="inlineStr">
        <is>
          <t>Digital dealer wholesale (closest ACV comp); Reuters/TickerSpark</t>
        </is>
      </c>
    </row>
    <row r="6">
      <c r="A6" t="inlineStr">
        <is>
          <t>Copart - current</t>
        </is>
      </c>
      <c r="B6" t="inlineStr">
        <is>
          <t>CPRT</t>
        </is>
      </c>
      <c r="C6" s="28">
        <f>Inputs!$B$13/1000</f>
        <v/>
      </c>
      <c r="D6" s="8">
        <f>Inputs!$B$13/1882</f>
        <v/>
      </c>
      <c r="E6" s="19" t="n">
        <v>11.3</v>
      </c>
      <c r="F6" s="19" t="n">
        <v>17.7</v>
      </c>
      <c r="G6" s="16" t="n">
        <v>0.354</v>
      </c>
      <c r="H6" s="19" t="n">
        <v>-2.3</v>
      </c>
      <c r="I6" t="inlineStr">
        <is>
          <t>CapIQ export; net cash</t>
        </is>
      </c>
    </row>
    <row r="7">
      <c r="A7" t="inlineStr">
        <is>
          <t>Copart - 2-yr avg (CQ4-24 to CQ3-26)</t>
        </is>
      </c>
      <c r="B7" t="inlineStr">
        <is>
          <t>CPRT</t>
        </is>
      </c>
      <c r="E7" s="8">
        <f>Historical!$J$40</f>
        <v/>
      </c>
      <c r="F7" s="8">
        <f>Historical!$J$41</f>
        <v/>
      </c>
      <c r="G7" s="16" t="n">
        <v>0.37</v>
      </c>
      <c r="I7" t="inlineStr">
        <is>
          <t>CapIQ Multiples tab</t>
        </is>
      </c>
    </row>
    <row r="8">
      <c r="A8" t="inlineStr">
        <is>
          <t>Copart - CQ4-2024 avg</t>
        </is>
      </c>
      <c r="B8" t="inlineStr">
        <is>
          <t>CPRT</t>
        </is>
      </c>
      <c r="E8" s="19" t="n">
        <v>25.8</v>
      </c>
      <c r="F8" s="19" t="n">
        <v>36.1</v>
      </c>
      <c r="G8" s="16" t="n">
        <v>0.377</v>
      </c>
      <c r="I8" t="inlineStr">
        <is>
          <t>Pre-derating level</t>
        </is>
      </c>
    </row>
    <row r="10">
      <c r="A10" s="3" t="inlineStr">
        <is>
          <t>Peer median (RBA, KAR)</t>
        </is>
      </c>
      <c r="D10" s="8">
        <f>MEDIAN(D4:D5)</f>
        <v/>
      </c>
      <c r="E10" s="8">
        <f>MEDIAN(E4:E5)</f>
        <v/>
      </c>
      <c r="F10" s="8">
        <f>MEDIAN(F4:F5)</f>
        <v/>
      </c>
    </row>
    <row r="12">
      <c r="A12" s="9" t="inlineStr">
        <is>
          <t>Implied CPRT value at peer / historical multiples (on FY27E base-case figures)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>
      <c r="A13" s="3" t="inlineStr">
        <is>
          <t>Basis</t>
        </is>
      </c>
      <c r="B13" s="3" t="inlineStr">
        <is>
          <t>Multiple</t>
        </is>
      </c>
      <c r="C13" s="3" t="inlineStr">
        <is>
          <t>Metric ($M / $)</t>
        </is>
      </c>
      <c r="D13" s="3" t="inlineStr">
        <is>
          <t>Implied EV</t>
        </is>
      </c>
      <c r="E13" s="3" t="inlineStr">
        <is>
          <t>Implied equity</t>
        </is>
      </c>
      <c r="F13" s="3" t="inlineStr">
        <is>
          <t>Per share</t>
        </is>
      </c>
      <c r="G13" s="3" t="inlineStr">
        <is>
          <t>vs current</t>
        </is>
      </c>
    </row>
    <row r="14">
      <c r="A14" t="inlineStr">
        <is>
          <t>Peer median EV/NTM EBITDA</t>
        </is>
      </c>
      <c r="B14" s="8">
        <f>E10</f>
        <v/>
      </c>
      <c r="C14" s="22">
        <f>Scenarios!$C$77</f>
        <v/>
      </c>
      <c r="D14" s="7">
        <f>B14*C14</f>
        <v/>
      </c>
      <c r="E14" s="7">
        <f>D14+(Inputs!$B$9-Inputs!$B$116-Inputs!$B$10-Inputs!$B$11)</f>
        <v/>
      </c>
      <c r="F14" s="4">
        <f>E14/Inputs!$B$7</f>
        <v/>
      </c>
      <c r="G14" s="5">
        <f>F14/Inputs!$B$6-1</f>
        <v/>
      </c>
    </row>
    <row r="15">
      <c r="A15" t="inlineStr">
        <is>
          <t>RBA EV/NTM EBITDA</t>
        </is>
      </c>
      <c r="B15" s="8">
        <f>E4</f>
        <v/>
      </c>
      <c r="C15" s="22">
        <f>Scenarios!$C$77</f>
        <v/>
      </c>
      <c r="D15" s="7">
        <f>B15*C15</f>
        <v/>
      </c>
      <c r="E15" s="7">
        <f>D15+(Inputs!$B$9-Inputs!$B$116-Inputs!$B$10-Inputs!$B$11)</f>
        <v/>
      </c>
      <c r="F15" s="4">
        <f>E15/Inputs!$B$7</f>
        <v/>
      </c>
      <c r="G15" s="5">
        <f>F15/Inputs!$B$6-1</f>
        <v/>
      </c>
    </row>
    <row r="16">
      <c r="A16" t="inlineStr">
        <is>
          <t>CPRT 2-yr avg EV/NTM EBITDA</t>
        </is>
      </c>
      <c r="B16" s="8">
        <f>E7</f>
        <v/>
      </c>
      <c r="C16" s="22">
        <f>Scenarios!$C$77</f>
        <v/>
      </c>
      <c r="D16" s="7">
        <f>B16*C16</f>
        <v/>
      </c>
      <c r="E16" s="7">
        <f>D16+(Inputs!$B$9-Inputs!$B$116-Inputs!$B$10-Inputs!$B$11)</f>
        <v/>
      </c>
      <c r="F16" s="4">
        <f>E16/Inputs!$B$7</f>
        <v/>
      </c>
      <c r="G16" s="5">
        <f>F16/Inputs!$B$6-1</f>
        <v/>
      </c>
    </row>
    <row r="17">
      <c r="A17" t="inlineStr">
        <is>
          <t>Peer median NTM P/E</t>
        </is>
      </c>
      <c r="B17" s="8">
        <f>F10</f>
        <v/>
      </c>
      <c r="C17" s="25">
        <f>Scenarios!$C$83</f>
        <v/>
      </c>
      <c r="D17" t="inlineStr"/>
      <c r="E17" t="inlineStr"/>
      <c r="F17" s="4">
        <f>B17*C17</f>
        <v/>
      </c>
      <c r="G17" s="5">
        <f>F17/Inputs!$B$6-1</f>
        <v/>
      </c>
    </row>
    <row r="18">
      <c r="A18" t="inlineStr">
        <is>
          <t>CPRT 2-yr avg NTM P/E</t>
        </is>
      </c>
      <c r="B18" s="8">
        <f>F7</f>
        <v/>
      </c>
      <c r="C18" s="25">
        <f>Scenarios!$C$83</f>
        <v/>
      </c>
      <c r="D18" t="inlineStr"/>
      <c r="E18" t="inlineStr"/>
      <c r="F18" s="4">
        <f>B18*C18</f>
        <v/>
      </c>
      <c r="G18" s="5">
        <f>F18/Inputs!$B$6-1</f>
        <v/>
      </c>
    </row>
    <row r="20">
      <c r="A20" s="17" t="inlineStr">
        <is>
          <t>Read-across: CPRT trades at a discount to RBA (IAA's parent) on P/E despite ~2x the EBIT margin, zero debt and $4.5B cash. The market is pricing structural share loss; the data (assignments +2.3% ex one customer) says cyclical.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1">
      <c r="A1" s="1" t="inlineStr">
        <is>
          <t>ACV AUCTIONS ACQUISITION - DEAL MATH &amp; ACCRETION (base case)</t>
        </is>
      </c>
      <c r="B1" s="2" t="n"/>
      <c r="C1" s="2" t="n"/>
      <c r="D1" s="2" t="n"/>
      <c r="E1" s="2" t="n"/>
      <c r="F1" s="2" t="n"/>
    </row>
    <row r="3">
      <c r="A3" t="inlineStr">
        <is>
          <t>Purchase price ($M)</t>
        </is>
      </c>
      <c r="B3" s="7">
        <f>Inputs!$B$116</f>
        <v/>
      </c>
      <c r="F3" s="11" t="inlineStr">
        <is>
          <t>Cash tender at $10.50/sh</t>
        </is>
      </c>
    </row>
    <row r="4">
      <c r="A4" t="inlineStr">
        <is>
          <t>ACV CY25 revenue</t>
        </is>
      </c>
      <c r="B4" s="18" t="n">
        <v>760</v>
      </c>
      <c r="F4" s="11" t="inlineStr">
        <is>
          <t>ACV 10-K</t>
        </is>
      </c>
    </row>
    <row r="5">
      <c r="A5" t="inlineStr">
        <is>
          <t>ACV CY25 adj. EBITDA</t>
        </is>
      </c>
      <c r="B5" s="18" t="n">
        <v>59</v>
      </c>
      <c r="F5" s="11" t="inlineStr"/>
    </row>
    <row r="6">
      <c r="A6" t="inlineStr">
        <is>
          <t>ACV CY26E revenue (guide)</t>
        </is>
      </c>
      <c r="B6" s="7">
        <f>Inputs!$B$119</f>
        <v/>
      </c>
      <c r="F6" s="11" t="inlineStr"/>
    </row>
    <row r="7">
      <c r="A7" t="inlineStr">
        <is>
          <t>ACV CY26E adj. EBITDA (guide mid)</t>
        </is>
      </c>
      <c r="B7" s="18" t="n">
        <v>75</v>
      </c>
      <c r="F7" s="11" t="inlineStr">
        <is>
          <t>$73-77M</t>
        </is>
      </c>
    </row>
    <row r="8">
      <c r="A8" t="inlineStr">
        <is>
          <t>EV / CY25 revenue</t>
        </is>
      </c>
      <c r="B8" s="8">
        <f>B3/B4</f>
        <v/>
      </c>
      <c r="F8" s="11" t="inlineStr"/>
    </row>
    <row r="9">
      <c r="A9" t="inlineStr">
        <is>
          <t>EV / CY25 adj. EBITDA</t>
        </is>
      </c>
      <c r="B9" s="8">
        <f>B3/B5</f>
        <v/>
      </c>
      <c r="F9" s="11" t="inlineStr"/>
    </row>
    <row r="10">
      <c r="A10" t="inlineStr">
        <is>
          <t>EV / CY26E adj. EBITDA</t>
        </is>
      </c>
      <c r="B10" s="8">
        <f>B3/B7</f>
        <v/>
      </c>
      <c r="F10" s="11" t="inlineStr"/>
    </row>
    <row r="11">
      <c r="A11" t="inlineStr">
        <is>
          <t>Foregone interest on cash (pre-tax, $M/yr)</t>
        </is>
      </c>
      <c r="B11" s="21">
        <f>B3*Inputs!$B$72</f>
        <v/>
      </c>
      <c r="F11" s="11" t="inlineStr">
        <is>
          <t>Cost of funding the deal from cash</t>
        </is>
      </c>
    </row>
    <row r="12">
      <c r="A12" t="inlineStr">
        <is>
          <t>Deal amortization (pre-tax, $M/yr)</t>
        </is>
      </c>
      <c r="B12" s="21">
        <f>Inputs!$B$124</f>
        <v/>
      </c>
      <c r="F12" s="11" t="inlineStr">
        <is>
          <t>Non-cash</t>
        </is>
      </c>
    </row>
    <row r="13">
      <c r="A13" t="inlineStr">
        <is>
          <t>Pre-tax synergies required for GAAP EPS breakeven (FY28, ex-amort.)</t>
        </is>
      </c>
      <c r="B13" s="21">
        <f>B11-Scenarios!D63-Scenarios!D64-Scenarios!D65</f>
        <v/>
      </c>
      <c r="F13" s="11" t="inlineStr">
        <is>
          <t>Foregone interest less ACV standalone EBIT (ex deal amort.)</t>
        </is>
      </c>
    </row>
    <row r="14">
      <c r="A14" t="inlineStr">
        <is>
          <t>Base-case FY28 synergies assumed</t>
        </is>
      </c>
      <c r="B14" s="21">
        <f>Inputs!$C$96</f>
        <v/>
      </c>
      <c r="F14" s="11" t="inlineStr"/>
    </row>
    <row r="15">
      <c r="A15" t="inlineStr">
        <is>
          <t>FY28E GAAP EPS impact of ACV (base, $)</t>
        </is>
      </c>
      <c r="B15" s="32">
        <f>(Scenarios!D68-B11)*(1-0.195)/Scenarios!D82</f>
        <v/>
      </c>
      <c r="F15" s="11" t="inlineStr">
        <is>
          <t>Includes deal amortization and foregone interest</t>
        </is>
      </c>
    </row>
    <row r="16">
      <c r="A16" t="inlineStr">
        <is>
          <t>FY28E cash EPS impact of ACV (base, $)</t>
        </is>
      </c>
      <c r="B16" s="32">
        <f>(Scenarios!D68-Scenarios!D66-B11)*(1-0.195)/Scenarios!D82</f>
        <v/>
      </c>
      <c r="F16" s="11" t="inlineStr">
        <is>
          <t>Ex deal amortization</t>
        </is>
      </c>
    </row>
    <row r="17">
      <c r="A17" t="inlineStr">
        <is>
          <t>Strategic logic</t>
        </is>
      </c>
      <c r="B17" s="33" t="inlineStr">
        <is>
          <t>Franchise-dealer access CPRT never cracked organically (20 yrs); 829k ACV units onto 21k acres/281 yards; buyer cross-sell; floorplan; vs. buyback at ~18x P/E = ~5.5% earnings yield</t>
        </is>
      </c>
      <c r="F17" s="11" t="inlineStr"/>
    </row>
    <row r="19">
      <c r="A19" s="9" t="inlineStr">
        <is>
          <t>Synergy sensitivity: FY28E GAAP EPS impact vs pre-tax synergies ($M)</t>
        </is>
      </c>
      <c r="B19" s="10" t="n"/>
      <c r="C19" s="10" t="n"/>
      <c r="D19" s="10" t="n"/>
      <c r="E19" s="10" t="n"/>
      <c r="F19" s="10" t="n"/>
    </row>
    <row r="20">
      <c r="A20" s="3" t="inlineStr">
        <is>
          <t>Synergies -&gt;</t>
        </is>
      </c>
      <c r="B20" s="34" t="n">
        <v>0</v>
      </c>
      <c r="C20" s="34" t="n">
        <v>25</v>
      </c>
      <c r="D20" s="34" t="n">
        <v>50</v>
      </c>
      <c r="E20" s="34" t="n">
        <v>75</v>
      </c>
      <c r="F20" s="34" t="n">
        <v>100</v>
      </c>
      <c r="G20" s="34" t="n">
        <v>150</v>
      </c>
    </row>
    <row r="21">
      <c r="A21" t="inlineStr">
        <is>
          <t>FY28E GAAP EPS impact ($)</t>
        </is>
      </c>
      <c r="B21" s="32">
        <f>(Scenarios!$D$68-Scenarios!$D$67+B20-$B$11)*(1-0.195)/Scenarios!$D$82</f>
        <v/>
      </c>
      <c r="C21" s="32">
        <f>(Scenarios!$D$68-Scenarios!$D$67+C20-$B$11)*(1-0.195)/Scenarios!$D$82</f>
        <v/>
      </c>
      <c r="D21" s="32">
        <f>(Scenarios!$D$68-Scenarios!$D$67+D20-$B$11)*(1-0.195)/Scenarios!$D$82</f>
        <v/>
      </c>
      <c r="E21" s="32">
        <f>(Scenarios!$D$68-Scenarios!$D$67+E20-$B$11)*(1-0.195)/Scenarios!$D$82</f>
        <v/>
      </c>
      <c r="F21" s="32">
        <f>(Scenarios!$D$68-Scenarios!$D$67+F20-$B$11)*(1-0.195)/Scenarios!$D$82</f>
        <v/>
      </c>
      <c r="G21" s="32">
        <f>(Scenarios!$D$68-Scenarios!$D$67+G20-$B$11)*(1-0.195)/Scenarios!$D$82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2026-09-25T01:23:53Z</dcterms:created>
  <dcterms:modified xmlns:dcterms="http://purl.org/dc/terms/" xmlns:xsi="http://www.w3.org/2001/XMLSchema-instance" xsi:type="dcterms:W3CDTF">2026-09-25T01:23:53Z</dcterms:modified>
</cp:coreProperties>
</file>